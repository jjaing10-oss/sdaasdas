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8AD4EE-3051-46F1-8C94-396A8D6A819C}" xr6:coauthVersionLast="47" xr6:coauthVersionMax="47" xr10:uidLastSave="{00000000-0000-0000-0000-000000000000}"/>
  <bookViews>
    <workbookView xWindow="-110" yWindow="-110" windowWidth="25820" windowHeight="15500" tabRatio="785" xr2:uid="{47313A65-9E3A-45EE-8852-501373E4048F}"/>
  </bookViews>
  <sheets>
    <sheet name="요약" sheetId="7" r:id="rId1"/>
    <sheet name="sum" sheetId="1" r:id="rId2"/>
    <sheet name="강북본부" sheetId="2" r:id="rId3"/>
    <sheet name="강남본부" sheetId="3" r:id="rId4"/>
    <sheet name="강서본부" sheetId="4" r:id="rId5"/>
    <sheet name="동부본부" sheetId="5" r:id="rId6"/>
    <sheet name="서부본부" sheetId="6" r:id="rId7"/>
    <sheet name="sum_" sheetId="8" r:id="rId8"/>
    <sheet name="강북본부_전년" sheetId="9" r:id="rId9"/>
    <sheet name="강남본부_전년" sheetId="10" r:id="rId10"/>
    <sheet name="강서본부_전년" sheetId="11" r:id="rId11"/>
    <sheet name="동부본부_전년" sheetId="12" r:id="rId12"/>
    <sheet name="서부본부_전년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9" i="8" l="1"/>
  <c r="E239" i="8"/>
  <c r="D239" i="8"/>
  <c r="C239" i="8"/>
  <c r="B239" i="8"/>
  <c r="F238" i="8"/>
  <c r="E238" i="8"/>
  <c r="D238" i="8"/>
  <c r="H39" i="7" s="1"/>
  <c r="C238" i="8"/>
  <c r="G39" i="7" s="1"/>
  <c r="B238" i="8"/>
  <c r="F237" i="8"/>
  <c r="E237" i="8"/>
  <c r="D237" i="8"/>
  <c r="C237" i="8"/>
  <c r="B237" i="8"/>
  <c r="F236" i="8"/>
  <c r="E236" i="8"/>
  <c r="D236" i="8"/>
  <c r="C236" i="8"/>
  <c r="B236" i="8"/>
  <c r="F235" i="8"/>
  <c r="E235" i="8"/>
  <c r="D235" i="8"/>
  <c r="C235" i="8"/>
  <c r="B235" i="8"/>
  <c r="F234" i="8"/>
  <c r="E234" i="8"/>
  <c r="D234" i="8"/>
  <c r="C234" i="8"/>
  <c r="B234" i="8"/>
  <c r="F233" i="8"/>
  <c r="E233" i="8"/>
  <c r="D233" i="8"/>
  <c r="C233" i="8"/>
  <c r="B233" i="8"/>
  <c r="F232" i="8"/>
  <c r="E232" i="8"/>
  <c r="D232" i="8"/>
  <c r="C232" i="8"/>
  <c r="B232" i="8"/>
  <c r="F231" i="8"/>
  <c r="E231" i="8"/>
  <c r="D231" i="8"/>
  <c r="C231" i="8"/>
  <c r="B231" i="8"/>
  <c r="F230" i="8"/>
  <c r="E230" i="8"/>
  <c r="D230" i="8"/>
  <c r="C230" i="8"/>
  <c r="B230" i="8"/>
  <c r="F229" i="8"/>
  <c r="E229" i="8"/>
  <c r="D229" i="8"/>
  <c r="C229" i="8"/>
  <c r="B229" i="8"/>
  <c r="F228" i="8"/>
  <c r="E228" i="8"/>
  <c r="D228" i="8"/>
  <c r="C228" i="8"/>
  <c r="B228" i="8"/>
  <c r="F227" i="8"/>
  <c r="E227" i="8"/>
  <c r="D227" i="8"/>
  <c r="C227" i="8"/>
  <c r="B227" i="8"/>
  <c r="F226" i="8"/>
  <c r="E226" i="8"/>
  <c r="D226" i="8"/>
  <c r="C226" i="8"/>
  <c r="B226" i="8"/>
  <c r="F225" i="8"/>
  <c r="E225" i="8"/>
  <c r="D225" i="8"/>
  <c r="C225" i="8"/>
  <c r="B225" i="8"/>
  <c r="F224" i="8"/>
  <c r="E224" i="8"/>
  <c r="D224" i="8"/>
  <c r="C224" i="8"/>
  <c r="B224" i="8"/>
  <c r="F223" i="8"/>
  <c r="E223" i="8"/>
  <c r="D223" i="8"/>
  <c r="C223" i="8"/>
  <c r="B223" i="8"/>
  <c r="F222" i="8"/>
  <c r="E222" i="8"/>
  <c r="D222" i="8"/>
  <c r="C222" i="8"/>
  <c r="B222" i="8"/>
  <c r="F221" i="8"/>
  <c r="E221" i="8"/>
  <c r="D221" i="8"/>
  <c r="C221" i="8"/>
  <c r="B221" i="8"/>
  <c r="F220" i="8"/>
  <c r="E220" i="8"/>
  <c r="D220" i="8"/>
  <c r="C220" i="8"/>
  <c r="B220" i="8"/>
  <c r="F219" i="8"/>
  <c r="E219" i="8"/>
  <c r="D219" i="8"/>
  <c r="C219" i="8"/>
  <c r="B219" i="8"/>
  <c r="F218" i="8"/>
  <c r="E218" i="8"/>
  <c r="D218" i="8"/>
  <c r="C218" i="8"/>
  <c r="B218" i="8"/>
  <c r="F217" i="8"/>
  <c r="J37" i="7" s="1"/>
  <c r="E217" i="8"/>
  <c r="D217" i="8"/>
  <c r="C217" i="8"/>
  <c r="B217" i="8"/>
  <c r="F216" i="8"/>
  <c r="E216" i="8"/>
  <c r="D216" i="8"/>
  <c r="C216" i="8"/>
  <c r="B216" i="8"/>
  <c r="F215" i="8"/>
  <c r="E215" i="8"/>
  <c r="D215" i="8"/>
  <c r="C215" i="8"/>
  <c r="B215" i="8"/>
  <c r="F214" i="8"/>
  <c r="E214" i="8"/>
  <c r="D214" i="8"/>
  <c r="C214" i="8"/>
  <c r="B214" i="8"/>
  <c r="F213" i="8"/>
  <c r="E213" i="8"/>
  <c r="D213" i="8"/>
  <c r="C213" i="8"/>
  <c r="B213" i="8"/>
  <c r="F212" i="8"/>
  <c r="E212" i="8"/>
  <c r="D212" i="8"/>
  <c r="C212" i="8"/>
  <c r="B212" i="8"/>
  <c r="F211" i="8"/>
  <c r="E211" i="8"/>
  <c r="D211" i="8"/>
  <c r="C211" i="8"/>
  <c r="B211" i="8"/>
  <c r="F210" i="8"/>
  <c r="E210" i="8"/>
  <c r="D210" i="8"/>
  <c r="C210" i="8"/>
  <c r="B210" i="8"/>
  <c r="F209" i="8"/>
  <c r="E209" i="8"/>
  <c r="D209" i="8"/>
  <c r="C209" i="8"/>
  <c r="B209" i="8"/>
  <c r="F208" i="8"/>
  <c r="E208" i="8"/>
  <c r="D208" i="8"/>
  <c r="C208" i="8"/>
  <c r="B208" i="8"/>
  <c r="F207" i="8"/>
  <c r="E207" i="8"/>
  <c r="D207" i="8"/>
  <c r="C207" i="8"/>
  <c r="B207" i="8"/>
  <c r="F206" i="8"/>
  <c r="E206" i="8"/>
  <c r="D206" i="8"/>
  <c r="C206" i="8"/>
  <c r="B206" i="8"/>
  <c r="F205" i="8"/>
  <c r="E205" i="8"/>
  <c r="D205" i="8"/>
  <c r="C205" i="8"/>
  <c r="B205" i="8"/>
  <c r="F204" i="8"/>
  <c r="E204" i="8"/>
  <c r="D204" i="8"/>
  <c r="C204" i="8"/>
  <c r="B204" i="8"/>
  <c r="F203" i="8"/>
  <c r="E203" i="8"/>
  <c r="D203" i="8"/>
  <c r="C203" i="8"/>
  <c r="B203" i="8"/>
  <c r="F202" i="8"/>
  <c r="E202" i="8"/>
  <c r="D202" i="8"/>
  <c r="C202" i="8"/>
  <c r="B202" i="8"/>
  <c r="F201" i="8"/>
  <c r="E201" i="8"/>
  <c r="D201" i="8"/>
  <c r="C201" i="8"/>
  <c r="B201" i="8"/>
  <c r="F200" i="8"/>
  <c r="E200" i="8"/>
  <c r="D200" i="8"/>
  <c r="C200" i="8"/>
  <c r="B200" i="8"/>
  <c r="F199" i="8"/>
  <c r="E199" i="8"/>
  <c r="D199" i="8"/>
  <c r="C199" i="8"/>
  <c r="B199" i="8"/>
  <c r="F198" i="8"/>
  <c r="E198" i="8"/>
  <c r="D198" i="8"/>
  <c r="C198" i="8"/>
  <c r="B198" i="8"/>
  <c r="F197" i="8"/>
  <c r="E197" i="8"/>
  <c r="D197" i="8"/>
  <c r="C197" i="8"/>
  <c r="B197" i="8"/>
  <c r="F196" i="8"/>
  <c r="E196" i="8"/>
  <c r="D196" i="8"/>
  <c r="C196" i="8"/>
  <c r="B196" i="8"/>
  <c r="F195" i="8"/>
  <c r="E195" i="8"/>
  <c r="D195" i="8"/>
  <c r="C195" i="8"/>
  <c r="B195" i="8"/>
  <c r="F194" i="8"/>
  <c r="E194" i="8"/>
  <c r="D194" i="8"/>
  <c r="C194" i="8"/>
  <c r="B194" i="8"/>
  <c r="F193" i="8"/>
  <c r="E193" i="8"/>
  <c r="D193" i="8"/>
  <c r="C193" i="8"/>
  <c r="B193" i="8"/>
  <c r="F192" i="8"/>
  <c r="E192" i="8"/>
  <c r="D192" i="8"/>
  <c r="C192" i="8"/>
  <c r="B192" i="8"/>
  <c r="F191" i="8"/>
  <c r="E191" i="8"/>
  <c r="D191" i="8"/>
  <c r="C191" i="8"/>
  <c r="B191" i="8"/>
  <c r="F190" i="8"/>
  <c r="E190" i="8"/>
  <c r="D190" i="8"/>
  <c r="C190" i="8"/>
  <c r="B190" i="8"/>
  <c r="F189" i="8"/>
  <c r="E189" i="8"/>
  <c r="D189" i="8"/>
  <c r="C189" i="8"/>
  <c r="B189" i="8"/>
  <c r="F188" i="8"/>
  <c r="E188" i="8"/>
  <c r="D188" i="8"/>
  <c r="C188" i="8"/>
  <c r="B188" i="8"/>
  <c r="F187" i="8"/>
  <c r="E187" i="8"/>
  <c r="D187" i="8"/>
  <c r="C187" i="8"/>
  <c r="B187" i="8"/>
  <c r="F186" i="8"/>
  <c r="E186" i="8"/>
  <c r="D186" i="8"/>
  <c r="C186" i="8"/>
  <c r="B186" i="8"/>
  <c r="F185" i="8"/>
  <c r="E185" i="8"/>
  <c r="D185" i="8"/>
  <c r="C185" i="8"/>
  <c r="B185" i="8"/>
  <c r="F184" i="8"/>
  <c r="E184" i="8"/>
  <c r="D184" i="8"/>
  <c r="C184" i="8"/>
  <c r="B184" i="8"/>
  <c r="F183" i="8"/>
  <c r="E183" i="8"/>
  <c r="D183" i="8"/>
  <c r="C183" i="8"/>
  <c r="B183" i="8"/>
  <c r="F182" i="8"/>
  <c r="E182" i="8"/>
  <c r="D182" i="8"/>
  <c r="C182" i="8"/>
  <c r="B182" i="8"/>
  <c r="F181" i="8"/>
  <c r="E181" i="8"/>
  <c r="D181" i="8"/>
  <c r="C181" i="8"/>
  <c r="B181" i="8"/>
  <c r="F180" i="8"/>
  <c r="E180" i="8"/>
  <c r="D180" i="8"/>
  <c r="C180" i="8"/>
  <c r="B180" i="8"/>
  <c r="F179" i="8"/>
  <c r="E179" i="8"/>
  <c r="D179" i="8"/>
  <c r="C179" i="8"/>
  <c r="B179" i="8"/>
  <c r="F178" i="8"/>
  <c r="E178" i="8"/>
  <c r="D178" i="8"/>
  <c r="C178" i="8"/>
  <c r="B178" i="8"/>
  <c r="F177" i="8"/>
  <c r="E177" i="8"/>
  <c r="D177" i="8"/>
  <c r="C177" i="8"/>
  <c r="B177" i="8"/>
  <c r="F176" i="8"/>
  <c r="E176" i="8"/>
  <c r="D176" i="8"/>
  <c r="C176" i="8"/>
  <c r="B176" i="8"/>
  <c r="F175" i="8"/>
  <c r="E175" i="8"/>
  <c r="D175" i="8"/>
  <c r="C175" i="8"/>
  <c r="B175" i="8"/>
  <c r="F174" i="8"/>
  <c r="E174" i="8"/>
  <c r="D174" i="8"/>
  <c r="C174" i="8"/>
  <c r="B174" i="8"/>
  <c r="F173" i="8"/>
  <c r="E173" i="8"/>
  <c r="D173" i="8"/>
  <c r="C173" i="8"/>
  <c r="B173" i="8"/>
  <c r="F172" i="8"/>
  <c r="E172" i="8"/>
  <c r="D172" i="8"/>
  <c r="C172" i="8"/>
  <c r="B172" i="8"/>
  <c r="F171" i="8"/>
  <c r="E171" i="8"/>
  <c r="D171" i="8"/>
  <c r="C171" i="8"/>
  <c r="B171" i="8"/>
  <c r="F170" i="8"/>
  <c r="E170" i="8"/>
  <c r="D170" i="8"/>
  <c r="C170" i="8"/>
  <c r="B170" i="8"/>
  <c r="F169" i="8"/>
  <c r="E169" i="8"/>
  <c r="D169" i="8"/>
  <c r="C169" i="8"/>
  <c r="B169" i="8"/>
  <c r="F168" i="8"/>
  <c r="E168" i="8"/>
  <c r="D168" i="8"/>
  <c r="C168" i="8"/>
  <c r="B168" i="8"/>
  <c r="F167" i="8"/>
  <c r="E167" i="8"/>
  <c r="D167" i="8"/>
  <c r="C167" i="8"/>
  <c r="B167" i="8"/>
  <c r="F166" i="8"/>
  <c r="E166" i="8"/>
  <c r="D166" i="8"/>
  <c r="C166" i="8"/>
  <c r="B166" i="8"/>
  <c r="F165" i="8"/>
  <c r="E165" i="8"/>
  <c r="D165" i="8"/>
  <c r="C165" i="8"/>
  <c r="B165" i="8"/>
  <c r="F164" i="8"/>
  <c r="E164" i="8"/>
  <c r="D164" i="8"/>
  <c r="C164" i="8"/>
  <c r="B164" i="8"/>
  <c r="F163" i="8"/>
  <c r="E163" i="8"/>
  <c r="D163" i="8"/>
  <c r="C163" i="8"/>
  <c r="B163" i="8"/>
  <c r="F162" i="8"/>
  <c r="E162" i="8"/>
  <c r="D162" i="8"/>
  <c r="C162" i="8"/>
  <c r="B162" i="8"/>
  <c r="F161" i="8"/>
  <c r="E161" i="8"/>
  <c r="D161" i="8"/>
  <c r="C161" i="8"/>
  <c r="B161" i="8"/>
  <c r="F160" i="8"/>
  <c r="E160" i="8"/>
  <c r="D160" i="8"/>
  <c r="C160" i="8"/>
  <c r="B160" i="8"/>
  <c r="F159" i="8"/>
  <c r="E159" i="8"/>
  <c r="D159" i="8"/>
  <c r="C159" i="8"/>
  <c r="B159" i="8"/>
  <c r="F158" i="8"/>
  <c r="E158" i="8"/>
  <c r="D158" i="8"/>
  <c r="C158" i="8"/>
  <c r="B158" i="8"/>
  <c r="F157" i="8"/>
  <c r="E157" i="8"/>
  <c r="D157" i="8"/>
  <c r="C157" i="8"/>
  <c r="B157" i="8"/>
  <c r="F156" i="8"/>
  <c r="E156" i="8"/>
  <c r="D156" i="8"/>
  <c r="C156" i="8"/>
  <c r="B156" i="8"/>
  <c r="F155" i="8"/>
  <c r="E155" i="8"/>
  <c r="D155" i="8"/>
  <c r="C155" i="8"/>
  <c r="B155" i="8"/>
  <c r="F154" i="8"/>
  <c r="E154" i="8"/>
  <c r="D154" i="8"/>
  <c r="C154" i="8"/>
  <c r="B154" i="8"/>
  <c r="F153" i="8"/>
  <c r="E153" i="8"/>
  <c r="D153" i="8"/>
  <c r="C153" i="8"/>
  <c r="B153" i="8"/>
  <c r="F152" i="8"/>
  <c r="E152" i="8"/>
  <c r="D152" i="8"/>
  <c r="C152" i="8"/>
  <c r="B152" i="8"/>
  <c r="F151" i="8"/>
  <c r="E151" i="8"/>
  <c r="D151" i="8"/>
  <c r="C151" i="8"/>
  <c r="B151" i="8"/>
  <c r="F150" i="8"/>
  <c r="E150" i="8"/>
  <c r="D150" i="8"/>
  <c r="C150" i="8"/>
  <c r="B150" i="8"/>
  <c r="F149" i="8"/>
  <c r="E149" i="8"/>
  <c r="D149" i="8"/>
  <c r="C149" i="8"/>
  <c r="B149" i="8"/>
  <c r="F148" i="8"/>
  <c r="E148" i="8"/>
  <c r="D148" i="8"/>
  <c r="C148" i="8"/>
  <c r="B148" i="8"/>
  <c r="F147" i="8"/>
  <c r="E147" i="8"/>
  <c r="D147" i="8"/>
  <c r="C147" i="8"/>
  <c r="B147" i="8"/>
  <c r="F146" i="8"/>
  <c r="E146" i="8"/>
  <c r="D146" i="8"/>
  <c r="C146" i="8"/>
  <c r="B146" i="8"/>
  <c r="F145" i="8"/>
  <c r="E145" i="8"/>
  <c r="D145" i="8"/>
  <c r="C145" i="8"/>
  <c r="B145" i="8"/>
  <c r="F144" i="8"/>
  <c r="E144" i="8"/>
  <c r="D144" i="8"/>
  <c r="C144" i="8"/>
  <c r="B144" i="8"/>
  <c r="F143" i="8"/>
  <c r="E143" i="8"/>
  <c r="D143" i="8"/>
  <c r="C143" i="8"/>
  <c r="B143" i="8"/>
  <c r="F142" i="8"/>
  <c r="E142" i="8"/>
  <c r="D142" i="8"/>
  <c r="C142" i="8"/>
  <c r="B142" i="8"/>
  <c r="F141" i="8"/>
  <c r="E141" i="8"/>
  <c r="D141" i="8"/>
  <c r="C141" i="8"/>
  <c r="B141" i="8"/>
  <c r="F140" i="8"/>
  <c r="E140" i="8"/>
  <c r="D140" i="8"/>
  <c r="C140" i="8"/>
  <c r="B140" i="8"/>
  <c r="F139" i="8"/>
  <c r="E139" i="8"/>
  <c r="D139" i="8"/>
  <c r="C139" i="8"/>
  <c r="B139" i="8"/>
  <c r="F138" i="8"/>
  <c r="E138" i="8"/>
  <c r="D138" i="8"/>
  <c r="C138" i="8"/>
  <c r="B138" i="8"/>
  <c r="F137" i="8"/>
  <c r="E137" i="8"/>
  <c r="D137" i="8"/>
  <c r="C137" i="8"/>
  <c r="B137" i="8"/>
  <c r="F136" i="8"/>
  <c r="E136" i="8"/>
  <c r="D136" i="8"/>
  <c r="C136" i="8"/>
  <c r="B136" i="8"/>
  <c r="F135" i="8"/>
  <c r="E135" i="8"/>
  <c r="D135" i="8"/>
  <c r="C135" i="8"/>
  <c r="B135" i="8"/>
  <c r="F134" i="8"/>
  <c r="E134" i="8"/>
  <c r="D134" i="8"/>
  <c r="C134" i="8"/>
  <c r="B134" i="8"/>
  <c r="F133" i="8"/>
  <c r="J38" i="7" s="1"/>
  <c r="E133" i="8"/>
  <c r="D133" i="8"/>
  <c r="C133" i="8"/>
  <c r="B133" i="8"/>
  <c r="F132" i="8"/>
  <c r="E132" i="8"/>
  <c r="D132" i="8"/>
  <c r="C132" i="8"/>
  <c r="B132" i="8"/>
  <c r="F131" i="8"/>
  <c r="E131" i="8"/>
  <c r="D131" i="8"/>
  <c r="C131" i="8"/>
  <c r="B131" i="8"/>
  <c r="F130" i="8"/>
  <c r="E130" i="8"/>
  <c r="D130" i="8"/>
  <c r="C130" i="8"/>
  <c r="B130" i="8"/>
  <c r="F129" i="8"/>
  <c r="E129" i="8"/>
  <c r="D129" i="8"/>
  <c r="C129" i="8"/>
  <c r="B129" i="8"/>
  <c r="F128" i="8"/>
  <c r="E128" i="8"/>
  <c r="D128" i="8"/>
  <c r="C128" i="8"/>
  <c r="B128" i="8"/>
  <c r="F127" i="8"/>
  <c r="E127" i="8"/>
  <c r="D127" i="8"/>
  <c r="C127" i="8"/>
  <c r="B127" i="8"/>
  <c r="F126" i="8"/>
  <c r="E126" i="8"/>
  <c r="D126" i="8"/>
  <c r="C126" i="8"/>
  <c r="B126" i="8"/>
  <c r="F125" i="8"/>
  <c r="E125" i="8"/>
  <c r="D125" i="8"/>
  <c r="C125" i="8"/>
  <c r="B125" i="8"/>
  <c r="F124" i="8"/>
  <c r="E124" i="8"/>
  <c r="D124" i="8"/>
  <c r="C124" i="8"/>
  <c r="B124" i="8"/>
  <c r="F123" i="8"/>
  <c r="E123" i="8"/>
  <c r="D123" i="8"/>
  <c r="C123" i="8"/>
  <c r="B123" i="8"/>
  <c r="F122" i="8"/>
  <c r="E122" i="8"/>
  <c r="D122" i="8"/>
  <c r="C122" i="8"/>
  <c r="B122" i="8"/>
  <c r="F121" i="8"/>
  <c r="E121" i="8"/>
  <c r="D121" i="8"/>
  <c r="C121" i="8"/>
  <c r="B121" i="8"/>
  <c r="F120" i="8"/>
  <c r="E120" i="8"/>
  <c r="D120" i="8"/>
  <c r="C120" i="8"/>
  <c r="B120" i="8"/>
  <c r="F119" i="8"/>
  <c r="E119" i="8"/>
  <c r="D119" i="8"/>
  <c r="C119" i="8"/>
  <c r="B119" i="8"/>
  <c r="F118" i="8"/>
  <c r="E118" i="8"/>
  <c r="D118" i="8"/>
  <c r="C118" i="8"/>
  <c r="B118" i="8"/>
  <c r="F117" i="8"/>
  <c r="E117" i="8"/>
  <c r="D117" i="8"/>
  <c r="C117" i="8"/>
  <c r="B117" i="8"/>
  <c r="F116" i="8"/>
  <c r="E116" i="8"/>
  <c r="D116" i="8"/>
  <c r="C116" i="8"/>
  <c r="B116" i="8"/>
  <c r="F115" i="8"/>
  <c r="J40" i="7" s="1"/>
  <c r="E115" i="8"/>
  <c r="D115" i="8"/>
  <c r="C115" i="8"/>
  <c r="B115" i="8"/>
  <c r="F40" i="7" s="1"/>
  <c r="F114" i="8"/>
  <c r="E114" i="8"/>
  <c r="D114" i="8"/>
  <c r="C114" i="8"/>
  <c r="B114" i="8"/>
  <c r="F113" i="8"/>
  <c r="E113" i="8"/>
  <c r="D113" i="8"/>
  <c r="C113" i="8"/>
  <c r="B113" i="8"/>
  <c r="F112" i="8"/>
  <c r="E112" i="8"/>
  <c r="D112" i="8"/>
  <c r="C112" i="8"/>
  <c r="B112" i="8"/>
  <c r="F111" i="8"/>
  <c r="E111" i="8"/>
  <c r="D111" i="8"/>
  <c r="C111" i="8"/>
  <c r="B111" i="8"/>
  <c r="F110" i="8"/>
  <c r="E110" i="8"/>
  <c r="D110" i="8"/>
  <c r="C110" i="8"/>
  <c r="B110" i="8"/>
  <c r="F109" i="8"/>
  <c r="E109" i="8"/>
  <c r="D109" i="8"/>
  <c r="C109" i="8"/>
  <c r="B109" i="8"/>
  <c r="F108" i="8"/>
  <c r="E108" i="8"/>
  <c r="D108" i="8"/>
  <c r="C108" i="8"/>
  <c r="B108" i="8"/>
  <c r="F107" i="8"/>
  <c r="E107" i="8"/>
  <c r="D107" i="8"/>
  <c r="C107" i="8"/>
  <c r="B107" i="8"/>
  <c r="F106" i="8"/>
  <c r="E106" i="8"/>
  <c r="D106" i="8"/>
  <c r="C106" i="8"/>
  <c r="B106" i="8"/>
  <c r="F105" i="8"/>
  <c r="E105" i="8"/>
  <c r="D105" i="8"/>
  <c r="C105" i="8"/>
  <c r="B105" i="8"/>
  <c r="F104" i="8"/>
  <c r="E104" i="8"/>
  <c r="D104" i="8"/>
  <c r="C104" i="8"/>
  <c r="B104" i="8"/>
  <c r="F103" i="8"/>
  <c r="E103" i="8"/>
  <c r="D103" i="8"/>
  <c r="C103" i="8"/>
  <c r="B103" i="8"/>
  <c r="F102" i="8"/>
  <c r="E102" i="8"/>
  <c r="D102" i="8"/>
  <c r="C102" i="8"/>
  <c r="B102" i="8"/>
  <c r="F101" i="8"/>
  <c r="E101" i="8"/>
  <c r="D101" i="8"/>
  <c r="C101" i="8"/>
  <c r="B101" i="8"/>
  <c r="F100" i="8"/>
  <c r="E100" i="8"/>
  <c r="D100" i="8"/>
  <c r="C100" i="8"/>
  <c r="B100" i="8"/>
  <c r="F99" i="8"/>
  <c r="E99" i="8"/>
  <c r="D99" i="8"/>
  <c r="C99" i="8"/>
  <c r="B99" i="8"/>
  <c r="F98" i="8"/>
  <c r="E98" i="8"/>
  <c r="D98" i="8"/>
  <c r="C98" i="8"/>
  <c r="B98" i="8"/>
  <c r="F97" i="8"/>
  <c r="E97" i="8"/>
  <c r="D97" i="8"/>
  <c r="C97" i="8"/>
  <c r="B97" i="8"/>
  <c r="F96" i="8"/>
  <c r="E96" i="8"/>
  <c r="D96" i="8"/>
  <c r="C96" i="8"/>
  <c r="B96" i="8"/>
  <c r="F95" i="8"/>
  <c r="E95" i="8"/>
  <c r="D95" i="8"/>
  <c r="C95" i="8"/>
  <c r="B95" i="8"/>
  <c r="F94" i="8"/>
  <c r="E94" i="8"/>
  <c r="D94" i="8"/>
  <c r="C94" i="8"/>
  <c r="B94" i="8"/>
  <c r="F93" i="8"/>
  <c r="E93" i="8"/>
  <c r="D93" i="8"/>
  <c r="C93" i="8"/>
  <c r="B93" i="8"/>
  <c r="F92" i="8"/>
  <c r="E92" i="8"/>
  <c r="D92" i="8"/>
  <c r="C92" i="8"/>
  <c r="B92" i="8"/>
  <c r="F91" i="8"/>
  <c r="E91" i="8"/>
  <c r="D91" i="8"/>
  <c r="C91" i="8"/>
  <c r="B91" i="8"/>
  <c r="F90" i="8"/>
  <c r="E90" i="8"/>
  <c r="D90" i="8"/>
  <c r="C90" i="8"/>
  <c r="B90" i="8"/>
  <c r="F89" i="8"/>
  <c r="E89" i="8"/>
  <c r="D89" i="8"/>
  <c r="C89" i="8"/>
  <c r="B89" i="8"/>
  <c r="F88" i="8"/>
  <c r="E88" i="8"/>
  <c r="D88" i="8"/>
  <c r="C88" i="8"/>
  <c r="B88" i="8"/>
  <c r="F87" i="8"/>
  <c r="E87" i="8"/>
  <c r="D87" i="8"/>
  <c r="C87" i="8"/>
  <c r="B87" i="8"/>
  <c r="F86" i="8"/>
  <c r="E86" i="8"/>
  <c r="D86" i="8"/>
  <c r="C86" i="8"/>
  <c r="B86" i="8"/>
  <c r="F85" i="8"/>
  <c r="E85" i="8"/>
  <c r="D85" i="8"/>
  <c r="C85" i="8"/>
  <c r="B85" i="8"/>
  <c r="F84" i="8"/>
  <c r="E84" i="8"/>
  <c r="D84" i="8"/>
  <c r="C84" i="8"/>
  <c r="B84" i="8"/>
  <c r="F83" i="8"/>
  <c r="E83" i="8"/>
  <c r="D83" i="8"/>
  <c r="C83" i="8"/>
  <c r="B83" i="8"/>
  <c r="F82" i="8"/>
  <c r="E82" i="8"/>
  <c r="D82" i="8"/>
  <c r="C82" i="8"/>
  <c r="B82" i="8"/>
  <c r="F81" i="8"/>
  <c r="E81" i="8"/>
  <c r="D81" i="8"/>
  <c r="C81" i="8"/>
  <c r="B81" i="8"/>
  <c r="F80" i="8"/>
  <c r="E80" i="8"/>
  <c r="D80" i="8"/>
  <c r="C80" i="8"/>
  <c r="B80" i="8"/>
  <c r="F79" i="8"/>
  <c r="E79" i="8"/>
  <c r="D79" i="8"/>
  <c r="C79" i="8"/>
  <c r="B79" i="8"/>
  <c r="F78" i="8"/>
  <c r="E78" i="8"/>
  <c r="D78" i="8"/>
  <c r="C78" i="8"/>
  <c r="B78" i="8"/>
  <c r="F77" i="8"/>
  <c r="E77" i="8"/>
  <c r="D77" i="8"/>
  <c r="C77" i="8"/>
  <c r="B77" i="8"/>
  <c r="F76" i="8"/>
  <c r="E76" i="8"/>
  <c r="D76" i="8"/>
  <c r="C76" i="8"/>
  <c r="B76" i="8"/>
  <c r="F75" i="8"/>
  <c r="E75" i="8"/>
  <c r="D75" i="8"/>
  <c r="C75" i="8"/>
  <c r="B75" i="8"/>
  <c r="F74" i="8"/>
  <c r="E74" i="8"/>
  <c r="D74" i="8"/>
  <c r="C74" i="8"/>
  <c r="B74" i="8"/>
  <c r="F73" i="8"/>
  <c r="E73" i="8"/>
  <c r="D73" i="8"/>
  <c r="C73" i="8"/>
  <c r="B73" i="8"/>
  <c r="F72" i="8"/>
  <c r="E72" i="8"/>
  <c r="D72" i="8"/>
  <c r="C72" i="8"/>
  <c r="B72" i="8"/>
  <c r="F71" i="8"/>
  <c r="E71" i="8"/>
  <c r="D71" i="8"/>
  <c r="C71" i="8"/>
  <c r="B71" i="8"/>
  <c r="F70" i="8"/>
  <c r="E70" i="8"/>
  <c r="D70" i="8"/>
  <c r="C70" i="8"/>
  <c r="B70" i="8"/>
  <c r="F69" i="8"/>
  <c r="E69" i="8"/>
  <c r="D69" i="8"/>
  <c r="C69" i="8"/>
  <c r="B69" i="8"/>
  <c r="F68" i="8"/>
  <c r="E68" i="8"/>
  <c r="D68" i="8"/>
  <c r="C68" i="8"/>
  <c r="B68" i="8"/>
  <c r="F67" i="8"/>
  <c r="E67" i="8"/>
  <c r="D67" i="8"/>
  <c r="C67" i="8"/>
  <c r="B67" i="8"/>
  <c r="F66" i="8"/>
  <c r="E66" i="8"/>
  <c r="D66" i="8"/>
  <c r="C66" i="8"/>
  <c r="B66" i="8"/>
  <c r="F65" i="8"/>
  <c r="E65" i="8"/>
  <c r="D65" i="8"/>
  <c r="C65" i="8"/>
  <c r="B65" i="8"/>
  <c r="F64" i="8"/>
  <c r="E64" i="8"/>
  <c r="D64" i="8"/>
  <c r="C64" i="8"/>
  <c r="B64" i="8"/>
  <c r="F63" i="8"/>
  <c r="E63" i="8"/>
  <c r="D63" i="8"/>
  <c r="C63" i="8"/>
  <c r="B63" i="8"/>
  <c r="F62" i="8"/>
  <c r="E62" i="8"/>
  <c r="D62" i="8"/>
  <c r="C62" i="8"/>
  <c r="B62" i="8"/>
  <c r="F61" i="8"/>
  <c r="E61" i="8"/>
  <c r="D61" i="8"/>
  <c r="C61" i="8"/>
  <c r="B61" i="8"/>
  <c r="F60" i="8"/>
  <c r="E60" i="8"/>
  <c r="D60" i="8"/>
  <c r="C60" i="8"/>
  <c r="B60" i="8"/>
  <c r="F59" i="8"/>
  <c r="E59" i="8"/>
  <c r="D59" i="8"/>
  <c r="C59" i="8"/>
  <c r="B59" i="8"/>
  <c r="F58" i="8"/>
  <c r="E58" i="8"/>
  <c r="D58" i="8"/>
  <c r="C58" i="8"/>
  <c r="B58" i="8"/>
  <c r="F57" i="8"/>
  <c r="E57" i="8"/>
  <c r="D57" i="8"/>
  <c r="C57" i="8"/>
  <c r="B57" i="8"/>
  <c r="F56" i="8"/>
  <c r="E56" i="8"/>
  <c r="D56" i="8"/>
  <c r="C56" i="8"/>
  <c r="B56" i="8"/>
  <c r="F55" i="8"/>
  <c r="E55" i="8"/>
  <c r="D55" i="8"/>
  <c r="C55" i="8"/>
  <c r="B55" i="8"/>
  <c r="F54" i="8"/>
  <c r="E54" i="8"/>
  <c r="D54" i="8"/>
  <c r="C54" i="8"/>
  <c r="B54" i="8"/>
  <c r="F53" i="8"/>
  <c r="E53" i="8"/>
  <c r="D53" i="8"/>
  <c r="C53" i="8"/>
  <c r="B53" i="8"/>
  <c r="F52" i="8"/>
  <c r="E52" i="8"/>
  <c r="D52" i="8"/>
  <c r="C52" i="8"/>
  <c r="B52" i="8"/>
  <c r="F51" i="8"/>
  <c r="E51" i="8"/>
  <c r="D51" i="8"/>
  <c r="C51" i="8"/>
  <c r="B51" i="8"/>
  <c r="F50" i="8"/>
  <c r="E50" i="8"/>
  <c r="D50" i="8"/>
  <c r="C50" i="8"/>
  <c r="B50" i="8"/>
  <c r="F49" i="8"/>
  <c r="E49" i="8"/>
  <c r="D49" i="8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D46" i="8"/>
  <c r="C46" i="8"/>
  <c r="B46" i="8"/>
  <c r="F45" i="8"/>
  <c r="E45" i="8"/>
  <c r="D45" i="8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F39" i="8"/>
  <c r="E39" i="8"/>
  <c r="D39" i="8"/>
  <c r="C39" i="8"/>
  <c r="B39" i="8"/>
  <c r="F38" i="8"/>
  <c r="E38" i="8"/>
  <c r="D38" i="8"/>
  <c r="C38" i="8"/>
  <c r="B38" i="8"/>
  <c r="F37" i="8"/>
  <c r="E37" i="8"/>
  <c r="D37" i="8"/>
  <c r="C37" i="8"/>
  <c r="B37" i="8"/>
  <c r="F36" i="8"/>
  <c r="E36" i="8"/>
  <c r="D36" i="8"/>
  <c r="C36" i="8"/>
  <c r="B36" i="8"/>
  <c r="F35" i="8"/>
  <c r="E35" i="8"/>
  <c r="D35" i="8"/>
  <c r="C35" i="8"/>
  <c r="B35" i="8"/>
  <c r="F34" i="8"/>
  <c r="E34" i="8"/>
  <c r="D34" i="8"/>
  <c r="C34" i="8"/>
  <c r="B34" i="8"/>
  <c r="F33" i="8"/>
  <c r="E33" i="8"/>
  <c r="D33" i="8"/>
  <c r="C33" i="8"/>
  <c r="B33" i="8"/>
  <c r="F32" i="8"/>
  <c r="E32" i="8"/>
  <c r="D32" i="8"/>
  <c r="C32" i="8"/>
  <c r="B32" i="8"/>
  <c r="F31" i="8"/>
  <c r="E31" i="8"/>
  <c r="D31" i="8"/>
  <c r="C31" i="8"/>
  <c r="B31" i="8"/>
  <c r="F30" i="8"/>
  <c r="E30" i="8"/>
  <c r="D30" i="8"/>
  <c r="C30" i="8"/>
  <c r="B30" i="8"/>
  <c r="F29" i="8"/>
  <c r="E29" i="8"/>
  <c r="I36" i="7" s="1"/>
  <c r="D29" i="8"/>
  <c r="H36" i="7" s="1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25" i="8"/>
  <c r="J33" i="7" s="1"/>
  <c r="E25" i="8"/>
  <c r="I33" i="7" s="1"/>
  <c r="D25" i="8"/>
  <c r="H33" i="7" s="1"/>
  <c r="C25" i="8"/>
  <c r="G33" i="7" s="1"/>
  <c r="B25" i="8"/>
  <c r="F33" i="7" s="1"/>
  <c r="F24" i="8"/>
  <c r="E24" i="8"/>
  <c r="D24" i="8"/>
  <c r="C24" i="8"/>
  <c r="B24" i="8"/>
  <c r="F23" i="8"/>
  <c r="E23" i="8"/>
  <c r="D23" i="8"/>
  <c r="C23" i="8"/>
  <c r="B23" i="8"/>
  <c r="F22" i="8"/>
  <c r="E22" i="8"/>
  <c r="D22" i="8"/>
  <c r="C22" i="8"/>
  <c r="B22" i="8"/>
  <c r="F21" i="8"/>
  <c r="E21" i="8"/>
  <c r="D21" i="8"/>
  <c r="C21" i="8"/>
  <c r="B21" i="8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31" i="7" s="1"/>
  <c r="F15" i="8"/>
  <c r="E15" i="8"/>
  <c r="D15" i="8"/>
  <c r="C15" i="8"/>
  <c r="B15" i="8"/>
  <c r="F14" i="8"/>
  <c r="E14" i="8"/>
  <c r="D14" i="8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D11" i="8"/>
  <c r="C11" i="8"/>
  <c r="B11" i="8"/>
  <c r="F10" i="8"/>
  <c r="E10" i="8"/>
  <c r="D10" i="8"/>
  <c r="C10" i="8"/>
  <c r="B10" i="8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J28" i="7" s="1"/>
  <c r="E4" i="8"/>
  <c r="I28" i="7" s="1"/>
  <c r="D4" i="8"/>
  <c r="H28" i="7" s="1"/>
  <c r="C4" i="8"/>
  <c r="G28" i="7" s="1"/>
  <c r="B4" i="8"/>
  <c r="F28" i="7" s="1"/>
  <c r="K28" i="7" s="1"/>
  <c r="F3" i="8"/>
  <c r="E3" i="8"/>
  <c r="D3" i="8"/>
  <c r="C3" i="8"/>
  <c r="B3" i="8"/>
  <c r="J36" i="7" l="1"/>
  <c r="J39" i="7"/>
  <c r="I38" i="7"/>
  <c r="K33" i="7"/>
  <c r="I40" i="7"/>
  <c r="I39" i="7"/>
  <c r="I37" i="7"/>
  <c r="I35" i="7" s="1"/>
  <c r="H37" i="7"/>
  <c r="H35" i="7" s="1"/>
  <c r="H38" i="7"/>
  <c r="H40" i="7"/>
  <c r="K40" i="7" s="1"/>
  <c r="H31" i="7"/>
  <c r="G40" i="7"/>
  <c r="G38" i="7"/>
  <c r="G37" i="7"/>
  <c r="G31" i="7"/>
  <c r="G36" i="7"/>
  <c r="G35" i="7" s="1"/>
  <c r="F37" i="7"/>
  <c r="K37" i="7" s="1"/>
  <c r="F36" i="7"/>
  <c r="F39" i="7"/>
  <c r="F38" i="7"/>
  <c r="K38" i="7" s="1"/>
  <c r="I31" i="7"/>
  <c r="J31" i="7"/>
  <c r="I32" i="7"/>
  <c r="J32" i="7"/>
  <c r="G30" i="7"/>
  <c r="G32" i="7"/>
  <c r="H32" i="7"/>
  <c r="F30" i="7"/>
  <c r="I30" i="7"/>
  <c r="J30" i="7"/>
  <c r="H30" i="7"/>
  <c r="F32" i="7"/>
  <c r="J35" i="7" l="1"/>
  <c r="K39" i="7"/>
  <c r="K31" i="7"/>
  <c r="K32" i="7"/>
  <c r="G29" i="7"/>
  <c r="G27" i="7" s="1"/>
  <c r="G34" i="7" s="1"/>
  <c r="G41" i="7" s="1"/>
  <c r="K36" i="7"/>
  <c r="F35" i="7"/>
  <c r="K35" i="7" s="1"/>
  <c r="H29" i="7"/>
  <c r="H27" i="7" s="1"/>
  <c r="H34" i="7" s="1"/>
  <c r="H41" i="7" s="1"/>
  <c r="J29" i="7"/>
  <c r="J27" i="7" s="1"/>
  <c r="J34" i="7" s="1"/>
  <c r="J41" i="7" s="1"/>
  <c r="I29" i="7"/>
  <c r="I27" i="7" s="1"/>
  <c r="I34" i="7" s="1"/>
  <c r="I41" i="7" s="1"/>
  <c r="F29" i="7"/>
  <c r="K30" i="7"/>
  <c r="F27" i="7" l="1"/>
  <c r="K29" i="7"/>
  <c r="F34" i="7" l="1"/>
  <c r="K27" i="7"/>
  <c r="F239" i="1"/>
  <c r="E239" i="1"/>
  <c r="D239" i="1"/>
  <c r="C239" i="1"/>
  <c r="B239" i="1"/>
  <c r="F238" i="1"/>
  <c r="E238" i="1"/>
  <c r="D238" i="1"/>
  <c r="C238" i="1"/>
  <c r="B238" i="1"/>
  <c r="F237" i="1"/>
  <c r="E237" i="1"/>
  <c r="D237" i="1"/>
  <c r="C237" i="1"/>
  <c r="B237" i="1"/>
  <c r="F236" i="1"/>
  <c r="E236" i="1"/>
  <c r="D236" i="1"/>
  <c r="C236" i="1"/>
  <c r="B236" i="1"/>
  <c r="F235" i="1"/>
  <c r="E235" i="1"/>
  <c r="D235" i="1"/>
  <c r="C235" i="1"/>
  <c r="B235" i="1"/>
  <c r="F234" i="1"/>
  <c r="E234" i="1"/>
  <c r="D234" i="1"/>
  <c r="C234" i="1"/>
  <c r="B234" i="1"/>
  <c r="F233" i="1"/>
  <c r="E233" i="1"/>
  <c r="D233" i="1"/>
  <c r="C233" i="1"/>
  <c r="B233" i="1"/>
  <c r="F232" i="1"/>
  <c r="E232" i="1"/>
  <c r="D232" i="1"/>
  <c r="C232" i="1"/>
  <c r="B232" i="1"/>
  <c r="F231" i="1"/>
  <c r="E231" i="1"/>
  <c r="D231" i="1"/>
  <c r="C231" i="1"/>
  <c r="B231" i="1"/>
  <c r="F230" i="1"/>
  <c r="E230" i="1"/>
  <c r="D230" i="1"/>
  <c r="C230" i="1"/>
  <c r="B230" i="1"/>
  <c r="F229" i="1"/>
  <c r="E229" i="1"/>
  <c r="D229" i="1"/>
  <c r="C229" i="1"/>
  <c r="B229" i="1"/>
  <c r="F228" i="1"/>
  <c r="E228" i="1"/>
  <c r="D228" i="1"/>
  <c r="C228" i="1"/>
  <c r="B228" i="1"/>
  <c r="F227" i="1"/>
  <c r="E227" i="1"/>
  <c r="D227" i="1"/>
  <c r="C227" i="1"/>
  <c r="B227" i="1"/>
  <c r="F226" i="1"/>
  <c r="E226" i="1"/>
  <c r="D226" i="1"/>
  <c r="C226" i="1"/>
  <c r="B226" i="1"/>
  <c r="F225" i="1"/>
  <c r="E225" i="1"/>
  <c r="D225" i="1"/>
  <c r="C225" i="1"/>
  <c r="B225" i="1"/>
  <c r="F224" i="1"/>
  <c r="E224" i="1"/>
  <c r="D224" i="1"/>
  <c r="C224" i="1"/>
  <c r="B224" i="1"/>
  <c r="F223" i="1"/>
  <c r="E223" i="1"/>
  <c r="D223" i="1"/>
  <c r="C223" i="1"/>
  <c r="B223" i="1"/>
  <c r="F222" i="1"/>
  <c r="E222" i="1"/>
  <c r="D222" i="1"/>
  <c r="C222" i="1"/>
  <c r="B222" i="1"/>
  <c r="F221" i="1"/>
  <c r="E221" i="1"/>
  <c r="D221" i="1"/>
  <c r="C221" i="1"/>
  <c r="B221" i="1"/>
  <c r="F220" i="1"/>
  <c r="E220" i="1"/>
  <c r="D220" i="1"/>
  <c r="C220" i="1"/>
  <c r="B220" i="1"/>
  <c r="F219" i="1"/>
  <c r="E219" i="1"/>
  <c r="D219" i="1"/>
  <c r="C219" i="1"/>
  <c r="B219" i="1"/>
  <c r="F218" i="1"/>
  <c r="E218" i="1"/>
  <c r="D218" i="1"/>
  <c r="C218" i="1"/>
  <c r="B218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C215" i="1"/>
  <c r="B215" i="1"/>
  <c r="F214" i="1"/>
  <c r="E214" i="1"/>
  <c r="D214" i="1"/>
  <c r="C214" i="1"/>
  <c r="B214" i="1"/>
  <c r="F213" i="1"/>
  <c r="E213" i="1"/>
  <c r="D213" i="1"/>
  <c r="C213" i="1"/>
  <c r="B213" i="1"/>
  <c r="F212" i="1"/>
  <c r="E212" i="1"/>
  <c r="D212" i="1"/>
  <c r="C212" i="1"/>
  <c r="B212" i="1"/>
  <c r="F211" i="1"/>
  <c r="E211" i="1"/>
  <c r="D211" i="1"/>
  <c r="C211" i="1"/>
  <c r="B211" i="1"/>
  <c r="F210" i="1"/>
  <c r="E210" i="1"/>
  <c r="D210" i="1"/>
  <c r="C210" i="1"/>
  <c r="B210" i="1"/>
  <c r="F209" i="1"/>
  <c r="E209" i="1"/>
  <c r="D209" i="1"/>
  <c r="C209" i="1"/>
  <c r="B209" i="1"/>
  <c r="F208" i="1"/>
  <c r="E208" i="1"/>
  <c r="D208" i="1"/>
  <c r="C208" i="1"/>
  <c r="B208" i="1"/>
  <c r="F207" i="1"/>
  <c r="E207" i="1"/>
  <c r="D207" i="1"/>
  <c r="C207" i="1"/>
  <c r="B207" i="1"/>
  <c r="F206" i="1"/>
  <c r="E206" i="1"/>
  <c r="D206" i="1"/>
  <c r="C206" i="1"/>
  <c r="B206" i="1"/>
  <c r="F205" i="1"/>
  <c r="E205" i="1"/>
  <c r="D205" i="1"/>
  <c r="C205" i="1"/>
  <c r="B205" i="1"/>
  <c r="F204" i="1"/>
  <c r="E204" i="1"/>
  <c r="D204" i="1"/>
  <c r="C204" i="1"/>
  <c r="B204" i="1"/>
  <c r="F203" i="1"/>
  <c r="E203" i="1"/>
  <c r="D203" i="1"/>
  <c r="C203" i="1"/>
  <c r="B203" i="1"/>
  <c r="F202" i="1"/>
  <c r="E202" i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F193" i="1"/>
  <c r="E193" i="1"/>
  <c r="D193" i="1"/>
  <c r="C193" i="1"/>
  <c r="B193" i="1"/>
  <c r="F192" i="1"/>
  <c r="E192" i="1"/>
  <c r="D192" i="1"/>
  <c r="C192" i="1"/>
  <c r="B192" i="1"/>
  <c r="F191" i="1"/>
  <c r="E191" i="1"/>
  <c r="D191" i="1"/>
  <c r="C191" i="1"/>
  <c r="B191" i="1"/>
  <c r="F190" i="1"/>
  <c r="E190" i="1"/>
  <c r="D190" i="1"/>
  <c r="C190" i="1"/>
  <c r="B190" i="1"/>
  <c r="F189" i="1"/>
  <c r="E189" i="1"/>
  <c r="D189" i="1"/>
  <c r="C189" i="1"/>
  <c r="B189" i="1"/>
  <c r="F188" i="1"/>
  <c r="E188" i="1"/>
  <c r="D188" i="1"/>
  <c r="C188" i="1"/>
  <c r="B188" i="1"/>
  <c r="F187" i="1"/>
  <c r="E187" i="1"/>
  <c r="D187" i="1"/>
  <c r="C187" i="1"/>
  <c r="B187" i="1"/>
  <c r="F186" i="1"/>
  <c r="E186" i="1"/>
  <c r="D186" i="1"/>
  <c r="C186" i="1"/>
  <c r="B186" i="1"/>
  <c r="F185" i="1"/>
  <c r="E185" i="1"/>
  <c r="D185" i="1"/>
  <c r="C185" i="1"/>
  <c r="B185" i="1"/>
  <c r="F184" i="1"/>
  <c r="E184" i="1"/>
  <c r="D184" i="1"/>
  <c r="C184" i="1"/>
  <c r="B184" i="1"/>
  <c r="F183" i="1"/>
  <c r="E183" i="1"/>
  <c r="D183" i="1"/>
  <c r="C183" i="1"/>
  <c r="B183" i="1"/>
  <c r="F182" i="1"/>
  <c r="E182" i="1"/>
  <c r="D182" i="1"/>
  <c r="C182" i="1"/>
  <c r="B182" i="1"/>
  <c r="F181" i="1"/>
  <c r="E181" i="1"/>
  <c r="D181" i="1"/>
  <c r="C181" i="1"/>
  <c r="B181" i="1"/>
  <c r="F180" i="1"/>
  <c r="E180" i="1"/>
  <c r="D180" i="1"/>
  <c r="C180" i="1"/>
  <c r="B180" i="1"/>
  <c r="F179" i="1"/>
  <c r="E179" i="1"/>
  <c r="D179" i="1"/>
  <c r="C179" i="1"/>
  <c r="B179" i="1"/>
  <c r="F178" i="1"/>
  <c r="E178" i="1"/>
  <c r="D178" i="1"/>
  <c r="C178" i="1"/>
  <c r="B178" i="1"/>
  <c r="F177" i="1"/>
  <c r="E177" i="1"/>
  <c r="D177" i="1"/>
  <c r="C177" i="1"/>
  <c r="B177" i="1"/>
  <c r="F176" i="1"/>
  <c r="E176" i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E173" i="1"/>
  <c r="D173" i="1"/>
  <c r="C173" i="1"/>
  <c r="B173" i="1"/>
  <c r="F172" i="1"/>
  <c r="E172" i="1"/>
  <c r="D172" i="1"/>
  <c r="C172" i="1"/>
  <c r="B172" i="1"/>
  <c r="F171" i="1"/>
  <c r="E171" i="1"/>
  <c r="D171" i="1"/>
  <c r="C171" i="1"/>
  <c r="B171" i="1"/>
  <c r="F170" i="1"/>
  <c r="E170" i="1"/>
  <c r="D170" i="1"/>
  <c r="C170" i="1"/>
  <c r="B170" i="1"/>
  <c r="F169" i="1"/>
  <c r="E169" i="1"/>
  <c r="D169" i="1"/>
  <c r="C169" i="1"/>
  <c r="B169" i="1"/>
  <c r="F168" i="1"/>
  <c r="E168" i="1"/>
  <c r="D168" i="1"/>
  <c r="C168" i="1"/>
  <c r="B168" i="1"/>
  <c r="F167" i="1"/>
  <c r="E167" i="1"/>
  <c r="D167" i="1"/>
  <c r="C167" i="1"/>
  <c r="B167" i="1"/>
  <c r="F166" i="1"/>
  <c r="E166" i="1"/>
  <c r="D166" i="1"/>
  <c r="C166" i="1"/>
  <c r="B166" i="1"/>
  <c r="F165" i="1"/>
  <c r="E165" i="1"/>
  <c r="D165" i="1"/>
  <c r="C165" i="1"/>
  <c r="B165" i="1"/>
  <c r="F164" i="1"/>
  <c r="E164" i="1"/>
  <c r="D164" i="1"/>
  <c r="C164" i="1"/>
  <c r="B164" i="1"/>
  <c r="F163" i="1"/>
  <c r="E163" i="1"/>
  <c r="D163" i="1"/>
  <c r="C163" i="1"/>
  <c r="B163" i="1"/>
  <c r="F162" i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J16" i="7" s="1"/>
  <c r="T38" i="7" s="1"/>
  <c r="E142" i="1"/>
  <c r="D142" i="1"/>
  <c r="H16" i="7" s="1"/>
  <c r="R38" i="7" s="1"/>
  <c r="C142" i="1"/>
  <c r="G16" i="7" s="1"/>
  <c r="Q38" i="7" s="1"/>
  <c r="B142" i="1"/>
  <c r="F16" i="7" s="1"/>
  <c r="F141" i="1"/>
  <c r="E141" i="1"/>
  <c r="I17" i="7" s="1"/>
  <c r="S39" i="7" s="1"/>
  <c r="D141" i="1"/>
  <c r="H17" i="7" s="1"/>
  <c r="R39" i="7" s="1"/>
  <c r="C141" i="1"/>
  <c r="G17" i="7" s="1"/>
  <c r="Q39" i="7" s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J18" i="7" s="1"/>
  <c r="T40" i="7" s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H14" i="7" s="1"/>
  <c r="C29" i="1"/>
  <c r="G14" i="7" s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J11" i="7" s="1"/>
  <c r="T33" i="7" s="1"/>
  <c r="E25" i="1"/>
  <c r="I11" i="7" s="1"/>
  <c r="S33" i="7" s="1"/>
  <c r="D25" i="1"/>
  <c r="H11" i="7" s="1"/>
  <c r="R33" i="7" s="1"/>
  <c r="C25" i="1"/>
  <c r="G11" i="7" s="1"/>
  <c r="Q33" i="7" s="1"/>
  <c r="B25" i="1"/>
  <c r="F11" i="7" s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J9" i="7" s="1"/>
  <c r="T31" i="7" s="1"/>
  <c r="E16" i="1"/>
  <c r="I9" i="7" s="1"/>
  <c r="S31" i="7" s="1"/>
  <c r="D16" i="1"/>
  <c r="H9" i="7" s="1"/>
  <c r="R31" i="7" s="1"/>
  <c r="C16" i="1"/>
  <c r="B16" i="1"/>
  <c r="F15" i="1"/>
  <c r="E15" i="1"/>
  <c r="D15" i="1"/>
  <c r="C15" i="1"/>
  <c r="B15" i="1"/>
  <c r="F14" i="1"/>
  <c r="E14" i="1"/>
  <c r="D14" i="1"/>
  <c r="C14" i="1"/>
  <c r="G8" i="7" s="1"/>
  <c r="Q30" i="7" s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J6" i="7" s="1"/>
  <c r="T28" i="7" s="1"/>
  <c r="E4" i="1"/>
  <c r="I6" i="7" s="1"/>
  <c r="S28" i="7" s="1"/>
  <c r="D4" i="1"/>
  <c r="H6" i="7" s="1"/>
  <c r="R28" i="7" s="1"/>
  <c r="C4" i="1"/>
  <c r="G6" i="7" s="1"/>
  <c r="Q28" i="7" s="1"/>
  <c r="B4" i="1"/>
  <c r="F6" i="7" s="1"/>
  <c r="F3" i="1"/>
  <c r="E3" i="1"/>
  <c r="D3" i="1"/>
  <c r="C3" i="1"/>
  <c r="B3" i="1"/>
  <c r="J14" i="7" l="1"/>
  <c r="J17" i="7"/>
  <c r="T39" i="7" s="1"/>
  <c r="J15" i="7"/>
  <c r="T37" i="7" s="1"/>
  <c r="I18" i="7"/>
  <c r="S40" i="7" s="1"/>
  <c r="I14" i="7"/>
  <c r="I16" i="7"/>
  <c r="S38" i="7" s="1"/>
  <c r="I15" i="7"/>
  <c r="S37" i="7" s="1"/>
  <c r="H15" i="7"/>
  <c r="R37" i="7" s="1"/>
  <c r="R36" i="7"/>
  <c r="H18" i="7"/>
  <c r="R40" i="7" s="1"/>
  <c r="Q36" i="7"/>
  <c r="G15" i="7"/>
  <c r="Q37" i="7" s="1"/>
  <c r="G18" i="7"/>
  <c r="Q40" i="7" s="1"/>
  <c r="P38" i="7"/>
  <c r="K16" i="7"/>
  <c r="P16" i="7" s="1"/>
  <c r="P33" i="7"/>
  <c r="K11" i="7"/>
  <c r="P11" i="7" s="1"/>
  <c r="F15" i="7"/>
  <c r="F18" i="7"/>
  <c r="P28" i="7"/>
  <c r="K6" i="7"/>
  <c r="F14" i="7"/>
  <c r="F17" i="7"/>
  <c r="H8" i="7"/>
  <c r="R30" i="7" s="1"/>
  <c r="J8" i="7"/>
  <c r="T30" i="7" s="1"/>
  <c r="I8" i="7"/>
  <c r="S30" i="7" s="1"/>
  <c r="F10" i="7"/>
  <c r="P32" i="7" s="1"/>
  <c r="G10" i="7"/>
  <c r="Q32" i="7" s="1"/>
  <c r="J10" i="7"/>
  <c r="T32" i="7" s="1"/>
  <c r="F9" i="7"/>
  <c r="P31" i="7" s="1"/>
  <c r="F8" i="7"/>
  <c r="H10" i="7"/>
  <c r="R32" i="7" s="1"/>
  <c r="I10" i="7"/>
  <c r="S32" i="7" s="1"/>
  <c r="G9" i="7"/>
  <c r="Q31" i="7" s="1"/>
  <c r="K34" i="7"/>
  <c r="F41" i="7"/>
  <c r="K41" i="7" s="1"/>
  <c r="T36" i="7" l="1"/>
  <c r="J13" i="7"/>
  <c r="T35" i="7" s="1"/>
  <c r="S36" i="7"/>
  <c r="I13" i="7"/>
  <c r="S35" i="7" s="1"/>
  <c r="H13" i="7"/>
  <c r="R35" i="7" s="1"/>
  <c r="G13" i="7"/>
  <c r="Q35" i="7" s="1"/>
  <c r="R6" i="7"/>
  <c r="T6" i="7"/>
  <c r="S6" i="7"/>
  <c r="Q6" i="7"/>
  <c r="P36" i="7"/>
  <c r="K14" i="7"/>
  <c r="F13" i="7"/>
  <c r="F7" i="7"/>
  <c r="P29" i="7" s="1"/>
  <c r="P30" i="7"/>
  <c r="S11" i="7"/>
  <c r="R11" i="7"/>
  <c r="T11" i="7"/>
  <c r="Q11" i="7"/>
  <c r="Q16" i="7"/>
  <c r="T16" i="7"/>
  <c r="R16" i="7"/>
  <c r="S16" i="7"/>
  <c r="P39" i="7"/>
  <c r="K17" i="7"/>
  <c r="P17" i="7"/>
  <c r="P6" i="7"/>
  <c r="P40" i="7"/>
  <c r="K18" i="7"/>
  <c r="P18" i="7" s="1"/>
  <c r="P37" i="7"/>
  <c r="K15" i="7"/>
  <c r="K9" i="7"/>
  <c r="P9" i="7" s="1"/>
  <c r="G7" i="7"/>
  <c r="I7" i="7"/>
  <c r="J7" i="7"/>
  <c r="K8" i="7"/>
  <c r="T8" i="7" s="1"/>
  <c r="K10" i="7"/>
  <c r="P10" i="7" s="1"/>
  <c r="H7" i="7"/>
  <c r="F5" i="7"/>
  <c r="P27" i="7" s="1"/>
  <c r="J5" i="7" l="1"/>
  <c r="T27" i="7" s="1"/>
  <c r="T29" i="7"/>
  <c r="I5" i="7"/>
  <c r="S27" i="7" s="1"/>
  <c r="S29" i="7"/>
  <c r="H5" i="7"/>
  <c r="R29" i="7"/>
  <c r="G5" i="7"/>
  <c r="Q27" i="7" s="1"/>
  <c r="Q29" i="7"/>
  <c r="P15" i="7"/>
  <c r="S15" i="7"/>
  <c r="Q15" i="7"/>
  <c r="T15" i="7"/>
  <c r="R15" i="7"/>
  <c r="P35" i="7"/>
  <c r="K13" i="7"/>
  <c r="Q18" i="7"/>
  <c r="S18" i="7"/>
  <c r="R18" i="7"/>
  <c r="T18" i="7"/>
  <c r="P14" i="7"/>
  <c r="T14" i="7"/>
  <c r="R14" i="7"/>
  <c r="Q14" i="7"/>
  <c r="S14" i="7"/>
  <c r="T17" i="7"/>
  <c r="R17" i="7"/>
  <c r="Q17" i="7"/>
  <c r="S17" i="7"/>
  <c r="P8" i="7"/>
  <c r="Q8" i="7"/>
  <c r="K7" i="7"/>
  <c r="R7" i="7" s="1"/>
  <c r="T10" i="7"/>
  <c r="S8" i="7"/>
  <c r="Q10" i="7"/>
  <c r="Q9" i="7"/>
  <c r="R9" i="7"/>
  <c r="T9" i="7"/>
  <c r="S9" i="7"/>
  <c r="R8" i="7"/>
  <c r="R10" i="7"/>
  <c r="S10" i="7"/>
  <c r="I12" i="7"/>
  <c r="S34" i="7" s="1"/>
  <c r="J12" i="7"/>
  <c r="T34" i="7" s="1"/>
  <c r="G12" i="7"/>
  <c r="Q34" i="7" s="1"/>
  <c r="F12" i="7"/>
  <c r="P34" i="7" s="1"/>
  <c r="K5" i="7"/>
  <c r="R5" i="7" s="1"/>
  <c r="R27" i="7" l="1"/>
  <c r="H12" i="7"/>
  <c r="P13" i="7"/>
  <c r="S13" i="7"/>
  <c r="R13" i="7"/>
  <c r="Q13" i="7"/>
  <c r="T13" i="7"/>
  <c r="S7" i="7"/>
  <c r="P7" i="7"/>
  <c r="Q7" i="7"/>
  <c r="T7" i="7"/>
  <c r="Q5" i="7"/>
  <c r="T5" i="7"/>
  <c r="G19" i="7"/>
  <c r="P5" i="7"/>
  <c r="J19" i="7"/>
  <c r="S5" i="7"/>
  <c r="I19" i="7"/>
  <c r="F19" i="7"/>
  <c r="K12" i="7"/>
  <c r="R12" i="7" s="1"/>
  <c r="T41" i="7" l="1"/>
  <c r="S41" i="7"/>
  <c r="R34" i="7"/>
  <c r="H19" i="7"/>
  <c r="Q41" i="7"/>
  <c r="P41" i="7"/>
  <c r="S12" i="7"/>
  <c r="K19" i="7"/>
  <c r="Q19" i="7" s="1"/>
  <c r="P12" i="7"/>
  <c r="T12" i="7"/>
  <c r="Q12" i="7"/>
  <c r="R41" i="7" l="1"/>
  <c r="R19" i="7"/>
  <c r="T19" i="7"/>
  <c r="P19" i="7"/>
  <c r="S19" i="7"/>
</calcChain>
</file>

<file path=xl/sharedStrings.xml><?xml version="1.0" encoding="utf-8"?>
<sst xmlns="http://schemas.openxmlformats.org/spreadsheetml/2006/main" count="1938" uniqueCount="343">
  <si>
    <t>계정명</t>
  </si>
  <si>
    <t>매            출</t>
  </si>
  <si>
    <t xml:space="preserve"> 상    품   매   출</t>
  </si>
  <si>
    <t xml:space="preserve">  상품단말기매출-고객</t>
  </si>
  <si>
    <t xml:space="preserve">  상품단말기매출-판매점</t>
  </si>
  <si>
    <t xml:space="preserve">  상품매출액-대형유통</t>
  </si>
  <si>
    <t xml:space="preserve">  상품매출액-채권승계</t>
  </si>
  <si>
    <t xml:space="preserve">  상품매출액-신용카드매출</t>
  </si>
  <si>
    <t xml:space="preserve">  상품매출액-부분납</t>
  </si>
  <si>
    <t xml:space="preserve">  상품매출액-보험매출</t>
  </si>
  <si>
    <t xml:space="preserve">  상품매출-기타</t>
    <phoneticPr fontId="5" type="noConversion"/>
  </si>
  <si>
    <t xml:space="preserve"> 수수료수입</t>
  </si>
  <si>
    <t xml:space="preserve">  수수료수입-KT(RDS)</t>
  </si>
  <si>
    <t xml:space="preserve">  수수료수입-기타</t>
  </si>
  <si>
    <t xml:space="preserve">  수수료수입-관리</t>
  </si>
  <si>
    <t xml:space="preserve">  수수료수입-매장성</t>
  </si>
  <si>
    <t xml:space="preserve">  수수료수입-유선</t>
  </si>
  <si>
    <t xml:space="preserve">  수수료수입-순액처리</t>
  </si>
  <si>
    <t xml:space="preserve">  수수료수입-AS</t>
  </si>
  <si>
    <t xml:space="preserve">  수수료수입-정책</t>
  </si>
  <si>
    <t xml:space="preserve">  수수료수입-용역</t>
  </si>
  <si>
    <t xml:space="preserve">  수수료수입-P3.0</t>
  </si>
  <si>
    <t xml:space="preserve">  수수료수입-신사업</t>
  </si>
  <si>
    <t>매   출  원   가</t>
  </si>
  <si>
    <t xml:space="preserve"> 상 품 매 출  원 가</t>
  </si>
  <si>
    <t>매  출 총 이  익</t>
  </si>
  <si>
    <t>판매비와일반관리비</t>
  </si>
  <si>
    <t xml:space="preserve"> 임   원    급   여</t>
  </si>
  <si>
    <t xml:space="preserve"> 직   원    급   여</t>
  </si>
  <si>
    <t xml:space="preserve">  급료와임금</t>
  </si>
  <si>
    <t xml:space="preserve">  초과근무수당</t>
  </si>
  <si>
    <t xml:space="preserve">  직책수당</t>
  </si>
  <si>
    <t xml:space="preserve">  연차수당</t>
  </si>
  <si>
    <t xml:space="preserve">  휴일근무수당</t>
  </si>
  <si>
    <t xml:space="preserve">  제수당기타</t>
  </si>
  <si>
    <t xml:space="preserve">  급료와임금-SC직</t>
  </si>
  <si>
    <t xml:space="preserve">  초과근무수당-SC직</t>
  </si>
  <si>
    <t xml:space="preserve">  직책수당-SC직</t>
  </si>
  <si>
    <t xml:space="preserve">  휴일근무수당-SC직</t>
  </si>
  <si>
    <t xml:space="preserve">  연차수당-SC직</t>
  </si>
  <si>
    <t xml:space="preserve">  제수당기타-기타직</t>
  </si>
  <si>
    <t xml:space="preserve">  복리급식보조비</t>
  </si>
  <si>
    <t xml:space="preserve">  복리차량보조비</t>
  </si>
  <si>
    <t xml:space="preserve">  복리급식보조비-SC직</t>
  </si>
  <si>
    <t xml:space="preserve">  복리심야근무실비</t>
  </si>
  <si>
    <t xml:space="preserve">  복리심야근무실비-SC직</t>
  </si>
  <si>
    <t xml:space="preserve">  급료와임금-영업직</t>
  </si>
  <si>
    <t xml:space="preserve">  초과근무수당-영업직</t>
  </si>
  <si>
    <t xml:space="preserve">  직책수당-영업직</t>
  </si>
  <si>
    <t xml:space="preserve">  복리급식보조비-영업직</t>
  </si>
  <si>
    <t xml:space="preserve">  사내강사비</t>
  </si>
  <si>
    <t xml:space="preserve">  시상비(마케팅)</t>
  </si>
  <si>
    <t xml:space="preserve">  연차수당-영업직</t>
  </si>
  <si>
    <t xml:space="preserve">  급료와임금-기타직</t>
  </si>
  <si>
    <t xml:space="preserve">  연차수당-기타직</t>
  </si>
  <si>
    <t xml:space="preserve">  휴일근무수당-기타직</t>
  </si>
  <si>
    <t xml:space="preserve">  휴일근무수당-영업직</t>
  </si>
  <si>
    <t xml:space="preserve">  심야근무수당-영업직</t>
  </si>
  <si>
    <t xml:space="preserve">  제수당기타-영업직</t>
  </si>
  <si>
    <t xml:space="preserve">  프로모션-기타직</t>
  </si>
  <si>
    <t xml:space="preserve">  특별격려금</t>
    <phoneticPr fontId="5" type="noConversion"/>
  </si>
  <si>
    <t xml:space="preserve"> 상      여      금</t>
  </si>
  <si>
    <t xml:space="preserve">  정기상여수당</t>
  </si>
  <si>
    <t xml:space="preserve">  특별상여수당</t>
  </si>
  <si>
    <t xml:space="preserve">  임원상여수당</t>
  </si>
  <si>
    <t xml:space="preserve">  정기상여수당-SC직</t>
  </si>
  <si>
    <t xml:space="preserve">  정기상여수당-영업직</t>
  </si>
  <si>
    <t xml:space="preserve">  정기상여수당-기타직</t>
  </si>
  <si>
    <t xml:space="preserve"> 잡              급</t>
  </si>
  <si>
    <t xml:space="preserve"> 퇴직급여충당금전입</t>
  </si>
  <si>
    <t xml:space="preserve">  퇴직급여충당금전입_부서별</t>
  </si>
  <si>
    <t xml:space="preserve"> 포상비</t>
  </si>
  <si>
    <t xml:space="preserve"> 복  리  후  생  비</t>
  </si>
  <si>
    <t xml:space="preserve">  복리임원자기계발비</t>
  </si>
  <si>
    <t xml:space="preserve">  복리산재보험료</t>
  </si>
  <si>
    <t xml:space="preserve">  복리건강보험료</t>
  </si>
  <si>
    <t xml:space="preserve">  복리국민연금</t>
  </si>
  <si>
    <t xml:space="preserve">  복리고용보험료</t>
  </si>
  <si>
    <t xml:space="preserve">  복리업무지원비</t>
  </si>
  <si>
    <t xml:space="preserve">  복리포인트(마케팅)</t>
  </si>
  <si>
    <t xml:space="preserve">  복리포인트(사업)</t>
  </si>
  <si>
    <t xml:space="preserve">  복리기타</t>
  </si>
  <si>
    <t xml:space="preserve">  복리기타-생수</t>
  </si>
  <si>
    <t xml:space="preserve">  복리선택적(wow펀드)</t>
  </si>
  <si>
    <t xml:space="preserve">  복리의료비(일반)</t>
  </si>
  <si>
    <t xml:space="preserve">  복리의료비(치과)</t>
  </si>
  <si>
    <t xml:space="preserve">  복리경조비_임원</t>
  </si>
  <si>
    <t xml:space="preserve">  복리경조비_일반직</t>
  </si>
  <si>
    <t xml:space="preserve">  복리경조비_SC직</t>
  </si>
  <si>
    <t xml:space="preserve">  복리경조비_영업직</t>
  </si>
  <si>
    <t xml:space="preserve">  복리경조비_기타직</t>
    <phoneticPr fontId="5" type="noConversion"/>
  </si>
  <si>
    <t xml:space="preserve">  복리자녀교육비_일반직</t>
  </si>
  <si>
    <t xml:space="preserve">  복리자녀교육비_SC직</t>
  </si>
  <si>
    <t xml:space="preserve">  복리자녀교육비_영업직</t>
  </si>
  <si>
    <t xml:space="preserve">  복리자녀교육비_기타직</t>
    <phoneticPr fontId="5" type="noConversion"/>
  </si>
  <si>
    <t xml:space="preserve">  복리자녀학자금_임원</t>
  </si>
  <si>
    <t xml:space="preserve">  복리자녀학자금_일반직</t>
  </si>
  <si>
    <t xml:space="preserve">  복리자녀학자금_SC직</t>
  </si>
  <si>
    <t xml:space="preserve">  복리자녀학자금_영업직</t>
  </si>
  <si>
    <t xml:space="preserve">  복리자녀학자금_기타직</t>
  </si>
  <si>
    <t xml:space="preserve">  복리대학자녀학자금_임원</t>
  </si>
  <si>
    <t xml:space="preserve">  복리대학자녀학자금_일반직</t>
  </si>
  <si>
    <t xml:space="preserve">  복리대학자녀학자금_영업직</t>
  </si>
  <si>
    <t xml:space="preserve">  복리포인트</t>
  </si>
  <si>
    <t xml:space="preserve">  복리놀이공원이용지원</t>
  </si>
  <si>
    <t xml:space="preserve">  복리휴양시설이용지원</t>
  </si>
  <si>
    <t xml:space="preserve">  복리포인트(성과형)</t>
  </si>
  <si>
    <t xml:space="preserve">  복리포인트(유선)</t>
  </si>
  <si>
    <t xml:space="preserve">  복리교육지원비</t>
    <phoneticPr fontId="5" type="noConversion"/>
  </si>
  <si>
    <t xml:space="preserve">  복리포인트(마케팅_포상)</t>
  </si>
  <si>
    <t xml:space="preserve">  복리포인트(사업_포상)</t>
  </si>
  <si>
    <t xml:space="preserve">  복리포인트(유선_포상)</t>
  </si>
  <si>
    <t xml:space="preserve">  모성보호지원금</t>
  </si>
  <si>
    <t xml:space="preserve"> 여  비  교  통  비</t>
  </si>
  <si>
    <t xml:space="preserve">  국내출장비</t>
  </si>
  <si>
    <t xml:space="preserve">  임원국내출장비</t>
  </si>
  <si>
    <t xml:space="preserve">  부임여비</t>
  </si>
  <si>
    <t xml:space="preserve">  차량운행지원비</t>
  </si>
  <si>
    <t xml:space="preserve">  차량운행지원비_임원</t>
  </si>
  <si>
    <t xml:space="preserve">  출장교통보조비</t>
  </si>
  <si>
    <t xml:space="preserve"> 접      대      비</t>
  </si>
  <si>
    <t xml:space="preserve">  접대비-세금계산서</t>
  </si>
  <si>
    <t xml:space="preserve">  접대비-신용카드</t>
  </si>
  <si>
    <t xml:space="preserve">  접대비-1만원초과</t>
  </si>
  <si>
    <t xml:space="preserve"> 통      신      비</t>
  </si>
  <si>
    <t xml:space="preserve">  통신-국내외전화료</t>
  </si>
  <si>
    <t xml:space="preserve">  통신-이동통신비</t>
  </si>
  <si>
    <t xml:space="preserve">  통신-정보통신이용료</t>
  </si>
  <si>
    <t xml:space="preserve">  통신-우편료(기본)</t>
  </si>
  <si>
    <t xml:space="preserve">  통신-우편료(마케팅)</t>
  </si>
  <si>
    <t xml:space="preserve">  통신-우편료(성과형)</t>
  </si>
  <si>
    <t xml:space="preserve"> 수  도  광  열  비</t>
  </si>
  <si>
    <t xml:space="preserve">  수도광열전기료</t>
  </si>
  <si>
    <t xml:space="preserve">  수도광열전기료(연체)</t>
  </si>
  <si>
    <t xml:space="preserve"> 세 금 과  공 과 금</t>
  </si>
  <si>
    <t xml:space="preserve">  세금과공과 면허세</t>
  </si>
  <si>
    <t xml:space="preserve">  세금과공과 벌과금및가산세등</t>
  </si>
  <si>
    <t xml:space="preserve">  세금과공과 제세기타</t>
  </si>
  <si>
    <t xml:space="preserve">  세금과공과금</t>
  </si>
  <si>
    <t xml:space="preserve"> 감  가  상  각  비</t>
  </si>
  <si>
    <t xml:space="preserve"> 지  급  임  차  료</t>
  </si>
  <si>
    <t xml:space="preserve">  임차료-렌트카</t>
  </si>
  <si>
    <t xml:space="preserve">  임차료-기타</t>
  </si>
  <si>
    <t xml:space="preserve">  임차료-건물</t>
  </si>
  <si>
    <t xml:space="preserve">  임차료-관리비</t>
  </si>
  <si>
    <t xml:space="preserve">  임차료-OA기기</t>
  </si>
  <si>
    <t xml:space="preserve">  임차료-물류센터</t>
  </si>
  <si>
    <t xml:space="preserve">  임차료-건물(연체)</t>
  </si>
  <si>
    <t xml:space="preserve">  임차료-관리비(연체)</t>
  </si>
  <si>
    <t xml:space="preserve"> 보      험      료</t>
  </si>
  <si>
    <t xml:space="preserve">  보험보증보험료</t>
  </si>
  <si>
    <t xml:space="preserve">  보험화재보험료</t>
  </si>
  <si>
    <t xml:space="preserve">  보험직원단체보험료</t>
  </si>
  <si>
    <t xml:space="preserve">  장애인고용부담금</t>
  </si>
  <si>
    <t xml:space="preserve"> 차  량  유  지  비</t>
  </si>
  <si>
    <t xml:space="preserve">  차량유지비- 통행주차료</t>
  </si>
  <si>
    <t xml:space="preserve">  차량유지비-본사(기본)</t>
  </si>
  <si>
    <t xml:space="preserve">  차량유지비-직영(기본)</t>
  </si>
  <si>
    <t xml:space="preserve">  차량유지비(전기차)</t>
  </si>
  <si>
    <t xml:space="preserve">  차량유지비(사업)</t>
  </si>
  <si>
    <t xml:space="preserve">  차량유지비(마케팅)</t>
  </si>
  <si>
    <t xml:space="preserve">  차량유지비(유선)</t>
  </si>
  <si>
    <t xml:space="preserve"> 운      반      비</t>
  </si>
  <si>
    <t xml:space="preserve">  단말기물류비-유선선장품</t>
  </si>
  <si>
    <t xml:space="preserve">  단말기물류비(기본)</t>
  </si>
  <si>
    <t xml:space="preserve">  단말기물류비(사업)</t>
  </si>
  <si>
    <t xml:space="preserve">  단말기물류비(마케팅)</t>
  </si>
  <si>
    <t xml:space="preserve">  단말기물류비(성과형)</t>
  </si>
  <si>
    <t xml:space="preserve">  단말기물류비(유선)</t>
  </si>
  <si>
    <t xml:space="preserve"> 교  육  훈  련  비</t>
  </si>
  <si>
    <t xml:space="preserve">  교육직장내</t>
  </si>
  <si>
    <t xml:space="preserve">  교육국내위탁</t>
  </si>
  <si>
    <t xml:space="preserve">  교육채용경비</t>
  </si>
  <si>
    <t xml:space="preserve">  교육채용경비(마케팅)</t>
  </si>
  <si>
    <t xml:space="preserve">  교육초빙강사</t>
  </si>
  <si>
    <t xml:space="preserve">  교육연수</t>
  </si>
  <si>
    <t xml:space="preserve"> 도  서  인  쇄  비</t>
  </si>
  <si>
    <t xml:space="preserve">  조사연구-도서구입비</t>
  </si>
  <si>
    <t xml:space="preserve">  조사연구-신문구독</t>
  </si>
  <si>
    <t xml:space="preserve"> 회      의      비</t>
  </si>
  <si>
    <t xml:space="preserve">  회의비-직영(기본)</t>
  </si>
  <si>
    <t xml:space="preserve">  고충처리협의비</t>
  </si>
  <si>
    <t xml:space="preserve">  회의비-본사(기본)</t>
  </si>
  <si>
    <t xml:space="preserve">  회의비-활동비(기본)</t>
  </si>
  <si>
    <t xml:space="preserve">  회의비(한마음)</t>
  </si>
  <si>
    <t xml:space="preserve">  회의비-포상</t>
  </si>
  <si>
    <t xml:space="preserve">  회의비(사업)</t>
  </si>
  <si>
    <t xml:space="preserve">  회의비(마케팅)</t>
  </si>
  <si>
    <t xml:space="preserve">  회의비(성과형)</t>
  </si>
  <si>
    <t xml:space="preserve">  회의비-강사(기본)</t>
  </si>
  <si>
    <t xml:space="preserve">  회의비(유선)</t>
  </si>
  <si>
    <t xml:space="preserve"> 소    모   품   비</t>
  </si>
  <si>
    <t xml:space="preserve">  소모품-MRO</t>
  </si>
  <si>
    <t xml:space="preserve">  소모품-일괄구매</t>
  </si>
  <si>
    <t xml:space="preserve">  소모품사무,일반용품(기본)</t>
  </si>
  <si>
    <t xml:space="preserve">  소모품사무,일반용품(사업)</t>
  </si>
  <si>
    <t xml:space="preserve">  소모품사무,일반용품(마케팅)</t>
  </si>
  <si>
    <t xml:space="preserve"> 지 급 수 수 료</t>
  </si>
  <si>
    <t xml:space="preserve">  IT유지보수대행수수료</t>
  </si>
  <si>
    <t xml:space="preserve">  수수료-서비스이용료</t>
  </si>
  <si>
    <t xml:space="preserve">  수수료-전문가자문료</t>
  </si>
  <si>
    <t xml:space="preserve">  수수료-법정수수료</t>
  </si>
  <si>
    <t xml:space="preserve">  수수료-보안용역</t>
  </si>
  <si>
    <t xml:space="preserve">  이체수수료</t>
  </si>
  <si>
    <t xml:space="preserve">  수수료-공사용역수수료</t>
  </si>
  <si>
    <t xml:space="preserve">  수수료-대행외부용역</t>
  </si>
  <si>
    <t xml:space="preserve">  수수료-금융거래</t>
  </si>
  <si>
    <t xml:space="preserve">  파견사업급여</t>
  </si>
  <si>
    <t xml:space="preserve">  파견사업급여_프로모션(마케팅)</t>
  </si>
  <si>
    <t xml:space="preserve">  파견사업급여_프로모션(사업)</t>
  </si>
  <si>
    <t xml:space="preserve">  수수료_단말기수리비(마케팅)</t>
  </si>
  <si>
    <t xml:space="preserve">  수수료-대행외부용역(사업)</t>
  </si>
  <si>
    <t xml:space="preserve">  수수료_단말기수리비(사업)</t>
  </si>
  <si>
    <t xml:space="preserve"> 광  고  선  전  비</t>
  </si>
  <si>
    <t xml:space="preserve">  광고매체 온라인광고비</t>
  </si>
  <si>
    <t xml:space="preserve"> 판  매  촉  진  비</t>
  </si>
  <si>
    <t xml:space="preserve">  판촉유지-판촉활동</t>
  </si>
  <si>
    <t xml:space="preserve">  판촉유지-고객불만비(AS)</t>
  </si>
  <si>
    <t xml:space="preserve">  판촉유지-고객불만비(사업)</t>
  </si>
  <si>
    <t xml:space="preserve">  판촉유지-고객불만비(마케팅)</t>
  </si>
  <si>
    <t xml:space="preserve">  판촉신규-유선판촉비</t>
  </si>
  <si>
    <t xml:space="preserve">  판촉비(사업)</t>
  </si>
  <si>
    <t xml:space="preserve">  판촉비(마케팅)</t>
  </si>
  <si>
    <t xml:space="preserve">  판촉비(성과형)</t>
  </si>
  <si>
    <t xml:space="preserve">  판촉비(유선)</t>
  </si>
  <si>
    <t xml:space="preserve">  판촉비(결합)</t>
    <phoneticPr fontId="5" type="noConversion"/>
  </si>
  <si>
    <t xml:space="preserve"> 대  손  상  각  비</t>
  </si>
  <si>
    <t xml:space="preserve"> 판  매  수  수  료</t>
  </si>
  <si>
    <t xml:space="preserve">  판매수수료-AS</t>
  </si>
  <si>
    <t xml:space="preserve">  판매수수료-온라인벤더</t>
  </si>
  <si>
    <t xml:space="preserve">  판매수수료(특판,폐쇄몰)</t>
    <phoneticPr fontId="5" type="noConversion"/>
  </si>
  <si>
    <t xml:space="preserve">  관리수수료(성과형)</t>
  </si>
  <si>
    <t xml:space="preserve">  판매수수료-판매점리베이트</t>
  </si>
  <si>
    <t xml:space="preserve">  판매수수료-대형마트</t>
  </si>
  <si>
    <t xml:space="preserve">  판매수수료-기타</t>
  </si>
  <si>
    <t xml:space="preserve">  판매수수료-유선상품</t>
  </si>
  <si>
    <t xml:space="preserve"> 무형 고정자산 상각</t>
  </si>
  <si>
    <t>영   업  이   익</t>
    <phoneticPr fontId="5" type="noConversion"/>
  </si>
  <si>
    <t>B3034</t>
  </si>
  <si>
    <t>B3035</t>
  </si>
  <si>
    <t>B3036</t>
  </si>
  <si>
    <t>B3037</t>
  </si>
  <si>
    <t>B3038</t>
  </si>
  <si>
    <t>B3062</t>
  </si>
  <si>
    <t>강북영업강화팀</t>
  </si>
  <si>
    <t>강북소매지사</t>
  </si>
  <si>
    <t>강동소매지사</t>
  </si>
  <si>
    <t>강북도매지사</t>
  </si>
  <si>
    <t>강원도매지사</t>
  </si>
  <si>
    <t>강북소상공인영업팀</t>
  </si>
  <si>
    <t>합계</t>
  </si>
  <si>
    <t>손            익</t>
  </si>
  <si>
    <t xml:space="preserve">  포상비</t>
  </si>
  <si>
    <t>영   업  이   익</t>
  </si>
  <si>
    <t>영  업 외 수  익</t>
  </si>
  <si>
    <t>영  업 외 비  용</t>
  </si>
  <si>
    <t>법인세비용차감전순이익</t>
  </si>
  <si>
    <t>법인세비용차감전계속사업순이익</t>
  </si>
  <si>
    <t>법  인 세 비  용</t>
  </si>
  <si>
    <t>계속 사  업 이익</t>
  </si>
  <si>
    <t>중단 사  업 손익</t>
  </si>
  <si>
    <t>당  기 순 이  익</t>
  </si>
  <si>
    <t>주당이익</t>
  </si>
  <si>
    <t>기본주당계속사업이익</t>
  </si>
  <si>
    <t>기본주당순이익</t>
  </si>
  <si>
    <t>희석주당계속사업이익</t>
  </si>
  <si>
    <t>희석주당순이익</t>
  </si>
  <si>
    <t>B3041</t>
  </si>
  <si>
    <t>B3042</t>
  </si>
  <si>
    <t>B3043</t>
  </si>
  <si>
    <t>B3044</t>
  </si>
  <si>
    <t>B3063</t>
  </si>
  <si>
    <t>강남영업강화팀</t>
  </si>
  <si>
    <t>강남소매지사</t>
  </si>
  <si>
    <t>남부소매지사</t>
  </si>
  <si>
    <t>강남도매지사</t>
  </si>
  <si>
    <t>강남소상공인영업팀</t>
  </si>
  <si>
    <t>B3046</t>
  </si>
  <si>
    <t>B3047</t>
  </si>
  <si>
    <t>B3048</t>
  </si>
  <si>
    <t>B3049</t>
  </si>
  <si>
    <t>B3064</t>
  </si>
  <si>
    <t>강서영업강화팀</t>
  </si>
  <si>
    <t>강서소매지사</t>
  </si>
  <si>
    <t>인천소매지사</t>
  </si>
  <si>
    <t>강서도매지사</t>
  </si>
  <si>
    <t>강서소상공인영업팀</t>
  </si>
  <si>
    <t>B3051</t>
  </si>
  <si>
    <t>B3052</t>
  </si>
  <si>
    <t>B3053</t>
  </si>
  <si>
    <t>B3054</t>
  </si>
  <si>
    <t>B3055</t>
  </si>
  <si>
    <t>B3065</t>
  </si>
  <si>
    <t>동부영업강화팀</t>
  </si>
  <si>
    <t>부산소매지사</t>
  </si>
  <si>
    <t>대구소매지사</t>
  </si>
  <si>
    <t>부산도매지사</t>
  </si>
  <si>
    <t>대구도매지사</t>
  </si>
  <si>
    <t>동부소상공인영업팀</t>
  </si>
  <si>
    <t>B3057</t>
  </si>
  <si>
    <t>B3058</t>
  </si>
  <si>
    <t>B3059</t>
  </si>
  <si>
    <t>B3060</t>
  </si>
  <si>
    <t>B3061</t>
  </si>
  <si>
    <t>B3066</t>
  </si>
  <si>
    <t>서부영업강화팀</t>
  </si>
  <si>
    <t>충청소매지사</t>
  </si>
  <si>
    <t>호남소매지사</t>
  </si>
  <si>
    <t>충청도매지사</t>
  </si>
  <si>
    <t>호남도매지사</t>
  </si>
  <si>
    <t>서부소상공인영업팀</t>
  </si>
  <si>
    <t>강북본부</t>
    <phoneticPr fontId="1" type="noConversion"/>
  </si>
  <si>
    <t>강남본부</t>
    <phoneticPr fontId="1" type="noConversion"/>
  </si>
  <si>
    <t>강서본부</t>
    <phoneticPr fontId="1" type="noConversion"/>
  </si>
  <si>
    <t>동부본부</t>
    <phoneticPr fontId="1" type="noConversion"/>
  </si>
  <si>
    <t>서부본부</t>
    <phoneticPr fontId="1" type="noConversion"/>
  </si>
  <si>
    <t>상품매출</t>
  </si>
  <si>
    <t>정책수수료</t>
  </si>
  <si>
    <t>관리수수료</t>
  </si>
  <si>
    <t>기타수수료</t>
  </si>
  <si>
    <t>매출원가</t>
  </si>
  <si>
    <t>매출총이익</t>
  </si>
  <si>
    <t>판매비와관리비</t>
  </si>
  <si>
    <t>인건비</t>
  </si>
  <si>
    <t>마케팅비</t>
  </si>
  <si>
    <t>임차관리비</t>
  </si>
  <si>
    <t>감가상각비</t>
  </si>
  <si>
    <t>기타운영비</t>
  </si>
  <si>
    <t>영업이익</t>
  </si>
  <si>
    <t>매출</t>
    <phoneticPr fontId="1" type="noConversion"/>
  </si>
  <si>
    <t>수수료매출</t>
    <phoneticPr fontId="1" type="noConversion"/>
  </si>
  <si>
    <t>계정명(단위:백만원)</t>
    <phoneticPr fontId="1" type="noConversion"/>
  </si>
  <si>
    <t>평균</t>
    <phoneticPr fontId="1" type="noConversion"/>
  </si>
  <si>
    <t>평균과의 갭</t>
    <phoneticPr fontId="1" type="noConversion"/>
  </si>
  <si>
    <t>[1월마감 현황]</t>
    <phoneticPr fontId="1" type="noConversion"/>
  </si>
  <si>
    <t>영   업  손   실</t>
  </si>
  <si>
    <t>법인세비용차감전순손실</t>
  </si>
  <si>
    <t>법인세비용차감전계속사업순손실</t>
  </si>
  <si>
    <t>계속사업손실</t>
  </si>
  <si>
    <t>당  기 순 손  실</t>
  </si>
  <si>
    <t>영   업  손   실</t>
    <phoneticPr fontId="5" type="noConversion"/>
  </si>
  <si>
    <t>[전년 1월마감 현황]</t>
    <phoneticPr fontId="1" type="noConversion"/>
  </si>
  <si>
    <t>전년과의 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</si>
</sst>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;[Red]\-#,##0\ "/>
    <numFmt numFmtId="177" formatCode="###,###,###,###"/>
    <numFmt numFmtId="178" formatCode="#,##0_ 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9"/>
      <color indexed="9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9"/>
      <name val="굴림"/>
      <family val="3"/>
      <charset val="129"/>
    </font>
    <font>
      <b/>
      <sz val="11"/>
      <name val="맑은 고딕"/>
      <family val="3"/>
      <charset val="129"/>
    </font>
    <font>
      <sz val="11"/>
      <color theme="0" tint="-0.499984740745262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</font>
    <font>
      <i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66286202581865905"/>
        <bgColor indexed="65"/>
      </patternFill>
    </fill>
    <fill>
      <patternFill patternType="solid">
        <fgColor indexed="9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7">
    <xf numFmtId="0" fontId="0" fillId="0" borderId="0" xfId="0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7" borderId="0" xfId="0" applyFont="1" applyFill="1" applyAlignment="1">
      <alignment horizontal="center" vertical="center" wrapText="1"/>
    </xf>
    <xf numFmtId="0" fontId="10" fillId="8" borderId="3" xfId="0" applyFont="1" applyFill="1" applyBorder="1">
      <alignment vertical="center"/>
    </xf>
    <xf numFmtId="177" fontId="10" fillId="8" borderId="3" xfId="0" applyNumberFormat="1" applyFont="1" applyFill="1" applyBorder="1">
      <alignment vertical="center"/>
    </xf>
    <xf numFmtId="0" fontId="0" fillId="0" borderId="0" xfId="0" applyAlignment="1"/>
    <xf numFmtId="178" fontId="3" fillId="3" borderId="1" xfId="0" applyNumberFormat="1" applyFont="1" applyFill="1" applyBorder="1">
      <alignment vertical="center"/>
    </xf>
    <xf numFmtId="178" fontId="3" fillId="0" borderId="1" xfId="0" applyNumberFormat="1" applyFont="1" applyBorder="1">
      <alignment vertical="center"/>
    </xf>
    <xf numFmtId="178" fontId="4" fillId="0" borderId="1" xfId="0" applyNumberFormat="1" applyFont="1" applyBorder="1">
      <alignment vertical="center"/>
    </xf>
    <xf numFmtId="178" fontId="4" fillId="4" borderId="1" xfId="0" applyNumberFormat="1" applyFont="1" applyFill="1" applyBorder="1">
      <alignment vertical="center"/>
    </xf>
    <xf numFmtId="178" fontId="4" fillId="5" borderId="1" xfId="0" applyNumberFormat="1" applyFont="1" applyFill="1" applyBorder="1">
      <alignment vertical="center"/>
    </xf>
    <xf numFmtId="178" fontId="4" fillId="6" borderId="1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7" xfId="0" applyFont="1" applyBorder="1">
      <alignment vertical="center"/>
    </xf>
    <xf numFmtId="178" fontId="11" fillId="3" borderId="1" xfId="0" applyNumberFormat="1" applyFont="1" applyFill="1" applyBorder="1" applyAlignment="1">
      <alignment horizontal="center" vertical="center"/>
    </xf>
    <xf numFmtId="178" fontId="11" fillId="3" borderId="8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8" fillId="0" borderId="8" xfId="0" applyNumberFormat="1" applyFont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8" fontId="7" fillId="3" borderId="8" xfId="0" applyNumberFormat="1" applyFont="1" applyFill="1" applyBorder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178" fontId="11" fillId="3" borderId="12" xfId="0" applyNumberFormat="1" applyFont="1" applyFill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8" fontId="7" fillId="3" borderId="12" xfId="0" applyNumberFormat="1" applyFont="1" applyFill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0" fontId="4" fillId="0" borderId="1" xfId="0" applyFont="1" applyFill="1" applyBorder="1">
      <alignment vertical="center"/>
    </xf>
    <xf numFmtId="178" fontId="4" fillId="0" borderId="1" xfId="0" applyNumberFormat="1" applyFont="1" applyFill="1" applyBorder="1">
      <alignment vertical="center"/>
    </xf>
    <xf numFmtId="0" fontId="8" fillId="0" borderId="13" xfId="0" applyFont="1" applyBorder="1" applyAlignment="1">
      <alignment horizontal="center" vertical="center"/>
    </xf>
    <xf numFmtId="178" fontId="8" fillId="0" borderId="13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8" fontId="8" fillId="0" borderId="14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8" fontId="8" fillId="0" borderId="11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178" fontId="8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8" fontId="8" fillId="0" borderId="16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/>
    </xf>
    <xf numFmtId="178" fontId="8" fillId="0" borderId="17" xfId="0" applyNumberFormat="1" applyFont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 shrinkToFit="1"/>
    </xf>
    <xf numFmtId="0" fontId="15" fillId="3" borderId="1" xfId="0" applyFont="1" applyFill="1" applyBorder="1">
      <alignment vertical="center"/>
    </xf>
    <xf numFmtId="178" fontId="15" fillId="3" borderId="1" xfId="0" applyNumberFormat="1" applyFont="1" applyFill="1" applyBorder="1">
      <alignment vertical="center"/>
    </xf>
    <xf numFmtId="178" fontId="16" fillId="0" borderId="0" xfId="0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6" fontId="9" fillId="2" borderId="1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6" fontId="9" fillId="2" borderId="12" xfId="1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176" fontId="9" fillId="2" borderId="9" xfId="1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76" fontId="7" fillId="9" borderId="8" xfId="1" applyNumberFormat="1" applyFont="1" applyFill="1" applyBorder="1" applyAlignment="1">
      <alignment horizontal="center" vertical="center" wrapText="1"/>
    </xf>
    <xf numFmtId="176" fontId="7" fillId="9" borderId="9" xfId="1" applyNumberFormat="1" applyFont="1" applyFill="1" applyBorder="1" applyAlignment="1">
      <alignment horizontal="center" vertical="center" wrapText="1"/>
    </xf>
    <xf numFmtId="176" fontId="7" fillId="9" borderId="1" xfId="1" applyNumberFormat="1" applyFont="1" applyFill="1" applyBorder="1" applyAlignment="1">
      <alignment horizontal="center" vertical="center" wrapText="1"/>
    </xf>
    <xf numFmtId="176" fontId="7" fillId="9" borderId="12" xfId="1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</cellXfs>
  <cellStyles count="2">
    <cellStyle name="표준" xfId="0" builtinId="0"/>
    <cellStyle name="표준 2" xfId="1" xr:uid="{C53CB244-6F56-422E-8E09-6986DCB10BB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9091-07C9-42A1-88E1-7E87362E478A}">
  <sheetPr>
    <tabColor rgb="FFC00000"/>
  </sheetPr>
  <dimension ref="C1:T47"/>
  <sheetViews>
    <sheetView showGridLines="0" tabSelected="1" zoomScale="80" zoomScaleNormal="80" workbookViewId="0">
      <selection activeCell="C3" sqref="C3:E4"/>
    </sheetView>
  </sheetViews>
  <sheetFormatPr defaultRowHeight="17" x14ac:dyDescent="0.45"/>
  <cols>
    <col min="1" max="2" width="4.33203125" customWidth="1"/>
    <col min="3" max="3" width="5.83203125" customWidth="1"/>
    <col min="4" max="4" width="4.9140625" customWidth="1"/>
    <col min="5" max="5" width="12.5" style="19" customWidth="1"/>
    <col min="6" max="11" width="12.75" customWidth="1"/>
    <col min="12" max="12" width="11" customWidth="1"/>
    <col min="13" max="13" width="5.83203125" customWidth="1"/>
    <col min="14" max="14" width="4.9140625" customWidth="1"/>
    <col min="15" max="15" width="12.5" style="19" customWidth="1"/>
    <col min="16" max="20" width="12.75" customWidth="1"/>
  </cols>
  <sheetData>
    <row r="1" spans="3:20" ht="19" customHeight="1" x14ac:dyDescent="0.45">
      <c r="I1" s="53"/>
      <c r="J1" s="53">
        <v>1000000</v>
      </c>
      <c r="K1" s="54"/>
      <c r="L1" s="54"/>
      <c r="M1" s="54"/>
      <c r="N1" s="54"/>
      <c r="O1" s="55"/>
      <c r="P1" s="54"/>
      <c r="Q1" s="54"/>
      <c r="R1" s="54"/>
      <c r="S1" s="56"/>
      <c r="T1" s="56"/>
    </row>
    <row r="2" spans="3:20" ht="19" customHeight="1" x14ac:dyDescent="0.45">
      <c r="C2" s="31" t="s">
        <v>334</v>
      </c>
    </row>
    <row r="3" spans="3:20" ht="19" customHeight="1" x14ac:dyDescent="0.45">
      <c r="C3" s="68" t="s">
        <v>331</v>
      </c>
      <c r="D3" s="57"/>
      <c r="E3" s="57"/>
      <c r="F3" s="57" t="s">
        <v>311</v>
      </c>
      <c r="G3" s="57" t="s">
        <v>312</v>
      </c>
      <c r="H3" s="57" t="s">
        <v>313</v>
      </c>
      <c r="I3" s="57" t="s">
        <v>314</v>
      </c>
      <c r="J3" s="58" t="s">
        <v>315</v>
      </c>
      <c r="K3" s="66" t="s">
        <v>332</v>
      </c>
      <c r="M3" s="68" t="s">
        <v>333</v>
      </c>
      <c r="N3" s="57"/>
      <c r="O3" s="57"/>
      <c r="P3" s="57" t="s">
        <v>311</v>
      </c>
      <c r="Q3" s="57" t="s">
        <v>312</v>
      </c>
      <c r="R3" s="57" t="s">
        <v>313</v>
      </c>
      <c r="S3" s="57" t="s">
        <v>314</v>
      </c>
      <c r="T3" s="58" t="s">
        <v>315</v>
      </c>
    </row>
    <row r="4" spans="3:20" ht="19" customHeight="1" x14ac:dyDescent="0.45">
      <c r="C4" s="68"/>
      <c r="D4" s="57"/>
      <c r="E4" s="57"/>
      <c r="F4" s="57"/>
      <c r="G4" s="57"/>
      <c r="H4" s="57"/>
      <c r="I4" s="57"/>
      <c r="J4" s="58"/>
      <c r="K4" s="66"/>
      <c r="M4" s="68"/>
      <c r="N4" s="57"/>
      <c r="O4" s="57"/>
      <c r="P4" s="57"/>
      <c r="Q4" s="57"/>
      <c r="R4" s="57"/>
      <c r="S4" s="57"/>
      <c r="T4" s="58"/>
    </row>
    <row r="5" spans="3:20" ht="19" customHeight="1" x14ac:dyDescent="0.45">
      <c r="C5" s="69" t="s">
        <v>329</v>
      </c>
      <c r="D5" s="70"/>
      <c r="E5" s="70"/>
      <c r="F5" s="24">
        <f>F6+F7</f>
        <v>5159.064832</v>
      </c>
      <c r="G5" s="24">
        <f t="shared" ref="G5:J5" si="0">G6+G7</f>
        <v>4688.078759</v>
      </c>
      <c r="H5" s="24">
        <f t="shared" si="0"/>
        <v>5970.8433770000001</v>
      </c>
      <c r="I5" s="24">
        <f t="shared" si="0"/>
        <v>6778.2178089999998</v>
      </c>
      <c r="J5" s="25">
        <f t="shared" si="0"/>
        <v>5635.5682770000003</v>
      </c>
      <c r="K5" s="32">
        <f t="shared" ref="K5:K19" si="1">AVERAGE(F5:J5)</f>
        <v>5646.3546107999991</v>
      </c>
      <c r="M5" s="69" t="s">
        <v>329</v>
      </c>
      <c r="N5" s="70"/>
      <c r="O5" s="70"/>
      <c r="P5" s="24">
        <f t="shared" ref="P5:P19" si="2">F5-$K5</f>
        <v>-487.28977879999911</v>
      </c>
      <c r="Q5" s="24">
        <f t="shared" ref="Q5:Q19" si="3">G5-$K5</f>
        <v>-958.27585179999915</v>
      </c>
      <c r="R5" s="24">
        <f t="shared" ref="R5:R19" si="4">H5-$K5</f>
        <v>324.48876620000101</v>
      </c>
      <c r="S5" s="24">
        <f t="shared" ref="S5:S19" si="5">I5-$K5</f>
        <v>1131.8631982000006</v>
      </c>
      <c r="T5" s="25">
        <f t="shared" ref="T5:T19" si="6">J5-$K5</f>
        <v>-10.786333799998829</v>
      </c>
    </row>
    <row r="6" spans="3:20" ht="19" customHeight="1" x14ac:dyDescent="0.45">
      <c r="C6" s="21"/>
      <c r="D6" s="63" t="s">
        <v>316</v>
      </c>
      <c r="E6" s="64"/>
      <c r="F6" s="26">
        <f>sum!B4/$J$1</f>
        <v>2122.121592</v>
      </c>
      <c r="G6" s="26">
        <f>sum!C4/$J$1</f>
        <v>1967.6679300000001</v>
      </c>
      <c r="H6" s="26">
        <f>sum!D4/$J$1</f>
        <v>2451.0331660000002</v>
      </c>
      <c r="I6" s="26">
        <f>sum!E4/$J$1</f>
        <v>2495.1531140000002</v>
      </c>
      <c r="J6" s="27">
        <f>sum!F4/$J$1</f>
        <v>1994.1956600000001</v>
      </c>
      <c r="K6" s="33">
        <f t="shared" si="1"/>
        <v>2206.0342924000001</v>
      </c>
      <c r="M6" s="21"/>
      <c r="N6" s="63" t="s">
        <v>316</v>
      </c>
      <c r="O6" s="64"/>
      <c r="P6" s="26">
        <f t="shared" si="2"/>
        <v>-83.912700400000176</v>
      </c>
      <c r="Q6" s="26">
        <f t="shared" si="3"/>
        <v>-238.36636240000007</v>
      </c>
      <c r="R6" s="26">
        <f t="shared" si="4"/>
        <v>244.99887360000002</v>
      </c>
      <c r="S6" s="26">
        <f t="shared" si="5"/>
        <v>289.11882160000005</v>
      </c>
      <c r="T6" s="27">
        <f t="shared" si="6"/>
        <v>-211.83863240000005</v>
      </c>
    </row>
    <row r="7" spans="3:20" ht="19" customHeight="1" x14ac:dyDescent="0.45">
      <c r="C7" s="21"/>
      <c r="D7" s="65" t="s">
        <v>330</v>
      </c>
      <c r="E7" s="64"/>
      <c r="F7" s="26">
        <f>SUM(F8:F10)</f>
        <v>3036.9432400000005</v>
      </c>
      <c r="G7" s="26">
        <f t="shared" ref="G7:J7" si="7">SUM(G8:G10)</f>
        <v>2720.4108289999999</v>
      </c>
      <c r="H7" s="26">
        <f t="shared" si="7"/>
        <v>3519.810211</v>
      </c>
      <c r="I7" s="26">
        <f t="shared" si="7"/>
        <v>4283.064695</v>
      </c>
      <c r="J7" s="27">
        <f t="shared" si="7"/>
        <v>3641.372617</v>
      </c>
      <c r="K7" s="33">
        <f t="shared" si="1"/>
        <v>3440.3203184000004</v>
      </c>
      <c r="M7" s="21"/>
      <c r="N7" s="65" t="s">
        <v>330</v>
      </c>
      <c r="O7" s="64"/>
      <c r="P7" s="26">
        <f t="shared" si="2"/>
        <v>-403.37707839999985</v>
      </c>
      <c r="Q7" s="26">
        <f t="shared" si="3"/>
        <v>-719.90948940000044</v>
      </c>
      <c r="R7" s="26">
        <f t="shared" si="4"/>
        <v>79.489892599999621</v>
      </c>
      <c r="S7" s="26">
        <f t="shared" si="5"/>
        <v>842.74437659999967</v>
      </c>
      <c r="T7" s="27">
        <f t="shared" si="6"/>
        <v>201.05229859999963</v>
      </c>
    </row>
    <row r="8" spans="3:20" ht="19" customHeight="1" x14ac:dyDescent="0.45">
      <c r="C8" s="21"/>
      <c r="D8" s="22"/>
      <c r="E8" s="38" t="s">
        <v>317</v>
      </c>
      <c r="F8" s="39">
        <f>(sum!B14+sum!B18+sum!B21+sum!B24)/$J$1</f>
        <v>1795.7297490000001</v>
      </c>
      <c r="G8" s="39">
        <f>(sum!C14+sum!C18+sum!C21+sum!C24)/$J$1</f>
        <v>1714.2026820000001</v>
      </c>
      <c r="H8" s="39">
        <f>(sum!D14+sum!D18+sum!D21+sum!D24)/$J$1</f>
        <v>2346.388614</v>
      </c>
      <c r="I8" s="39">
        <f>(sum!E14+sum!E18+sum!E21+sum!E24)/$J$1</f>
        <v>2475.6766950000001</v>
      </c>
      <c r="J8" s="40">
        <f>(sum!F14+sum!F18+sum!F21+sum!F24)/$J$1</f>
        <v>2194.6199879999999</v>
      </c>
      <c r="K8" s="41">
        <f t="shared" si="1"/>
        <v>2105.3235456000002</v>
      </c>
      <c r="M8" s="21"/>
      <c r="N8" s="22"/>
      <c r="O8" s="38" t="s">
        <v>317</v>
      </c>
      <c r="P8" s="39">
        <f t="shared" si="2"/>
        <v>-309.59379660000013</v>
      </c>
      <c r="Q8" s="39">
        <f t="shared" si="3"/>
        <v>-391.12086360000012</v>
      </c>
      <c r="R8" s="39">
        <f t="shared" si="4"/>
        <v>241.06506839999975</v>
      </c>
      <c r="S8" s="39">
        <f t="shared" si="5"/>
        <v>370.35314939999989</v>
      </c>
      <c r="T8" s="40">
        <f t="shared" si="6"/>
        <v>89.296442399999705</v>
      </c>
    </row>
    <row r="9" spans="3:20" ht="19" customHeight="1" x14ac:dyDescent="0.45">
      <c r="C9" s="21"/>
      <c r="D9" s="8"/>
      <c r="E9" s="42" t="s">
        <v>318</v>
      </c>
      <c r="F9" s="43">
        <f>(sum!B16+sum!B17+sum!B23)/$J$1</f>
        <v>723.28721199999995</v>
      </c>
      <c r="G9" s="43">
        <f>(sum!C16+sum!C17+sum!C23)/$J$1</f>
        <v>681.22141699999997</v>
      </c>
      <c r="H9" s="43">
        <f>(sum!D16+sum!D17+sum!D23)/$J$1</f>
        <v>779.171739</v>
      </c>
      <c r="I9" s="43">
        <f>(sum!E16+sum!E17+sum!E23)/$J$1</f>
        <v>1012.373667</v>
      </c>
      <c r="J9" s="44">
        <f>(sum!F16+sum!F17+sum!F23)/$J$1</f>
        <v>892.59943499999997</v>
      </c>
      <c r="K9" s="45">
        <f t="shared" si="1"/>
        <v>817.73069399999997</v>
      </c>
      <c r="M9" s="21"/>
      <c r="N9" s="8"/>
      <c r="O9" s="42" t="s">
        <v>318</v>
      </c>
      <c r="P9" s="43">
        <f t="shared" si="2"/>
        <v>-94.443482000000017</v>
      </c>
      <c r="Q9" s="43">
        <f t="shared" si="3"/>
        <v>-136.509277</v>
      </c>
      <c r="R9" s="43">
        <f t="shared" si="4"/>
        <v>-38.558954999999969</v>
      </c>
      <c r="S9" s="43">
        <f t="shared" si="5"/>
        <v>194.64297299999998</v>
      </c>
      <c r="T9" s="44">
        <f t="shared" si="6"/>
        <v>74.868741</v>
      </c>
    </row>
    <row r="10" spans="3:20" ht="19" customHeight="1" x14ac:dyDescent="0.45">
      <c r="C10" s="23"/>
      <c r="D10" s="8"/>
      <c r="E10" s="46" t="s">
        <v>319</v>
      </c>
      <c r="F10" s="47">
        <f>(sum!B15+sum!B20+sum!B22)/$J$1</f>
        <v>517.92627900000002</v>
      </c>
      <c r="G10" s="47">
        <f>(sum!C15+sum!C20+sum!C22)/$J$1</f>
        <v>324.98673000000002</v>
      </c>
      <c r="H10" s="47">
        <f>(sum!D15+sum!D20+sum!D22)/$J$1</f>
        <v>394.24985800000002</v>
      </c>
      <c r="I10" s="47">
        <f>(sum!E15+sum!E20+sum!E22)/$J$1</f>
        <v>795.01433299999997</v>
      </c>
      <c r="J10" s="48">
        <f>(sum!F15+sum!F20+sum!F22)/$J$1</f>
        <v>554.15319399999998</v>
      </c>
      <c r="K10" s="49">
        <f t="shared" si="1"/>
        <v>517.26607880000006</v>
      </c>
      <c r="M10" s="23"/>
      <c r="N10" s="8"/>
      <c r="O10" s="46" t="s">
        <v>319</v>
      </c>
      <c r="P10" s="47">
        <f t="shared" si="2"/>
        <v>0.66020019999996293</v>
      </c>
      <c r="Q10" s="47">
        <f t="shared" si="3"/>
        <v>-192.27934880000004</v>
      </c>
      <c r="R10" s="47">
        <f t="shared" si="4"/>
        <v>-123.01622080000004</v>
      </c>
      <c r="S10" s="47">
        <f t="shared" si="5"/>
        <v>277.74825419999991</v>
      </c>
      <c r="T10" s="48">
        <f t="shared" si="6"/>
        <v>36.887115199999926</v>
      </c>
    </row>
    <row r="11" spans="3:20" ht="19" customHeight="1" x14ac:dyDescent="0.45">
      <c r="C11" s="61" t="s">
        <v>320</v>
      </c>
      <c r="D11" s="62"/>
      <c r="E11" s="62"/>
      <c r="F11" s="28">
        <f>sum!B25/$J$1</f>
        <v>2480.7145310000001</v>
      </c>
      <c r="G11" s="28">
        <f>sum!C25/$J$1</f>
        <v>2276.5048919999999</v>
      </c>
      <c r="H11" s="28">
        <f>sum!D25/$J$1</f>
        <v>2903.8722050000001</v>
      </c>
      <c r="I11" s="28">
        <f>sum!E25/$J$1</f>
        <v>2901.4685049999998</v>
      </c>
      <c r="J11" s="29">
        <f>sum!F25/$J$1</f>
        <v>2350.8754640000002</v>
      </c>
      <c r="K11" s="34">
        <f t="shared" si="1"/>
        <v>2582.6871194</v>
      </c>
      <c r="M11" s="61" t="s">
        <v>320</v>
      </c>
      <c r="N11" s="62"/>
      <c r="O11" s="62"/>
      <c r="P11" s="28">
        <f t="shared" si="2"/>
        <v>-101.97258839999995</v>
      </c>
      <c r="Q11" s="28">
        <f t="shared" si="3"/>
        <v>-306.1822274000001</v>
      </c>
      <c r="R11" s="28">
        <f t="shared" si="4"/>
        <v>321.18508560000009</v>
      </c>
      <c r="S11" s="28">
        <f t="shared" si="5"/>
        <v>318.78138559999979</v>
      </c>
      <c r="T11" s="29">
        <f t="shared" si="6"/>
        <v>-231.81165539999984</v>
      </c>
    </row>
    <row r="12" spans="3:20" ht="19" customHeight="1" x14ac:dyDescent="0.45">
      <c r="C12" s="61" t="s">
        <v>321</v>
      </c>
      <c r="D12" s="62"/>
      <c r="E12" s="62"/>
      <c r="F12" s="28">
        <f>F5-F11</f>
        <v>2678.3503009999999</v>
      </c>
      <c r="G12" s="28">
        <f t="shared" ref="G12:J12" si="8">G5-G11</f>
        <v>2411.5738670000001</v>
      </c>
      <c r="H12" s="28">
        <f t="shared" si="8"/>
        <v>3066.971172</v>
      </c>
      <c r="I12" s="28">
        <f t="shared" si="8"/>
        <v>3876.7493039999999</v>
      </c>
      <c r="J12" s="29">
        <f t="shared" si="8"/>
        <v>3284.6928130000001</v>
      </c>
      <c r="K12" s="34">
        <f t="shared" si="1"/>
        <v>3063.6674914</v>
      </c>
      <c r="M12" s="61" t="s">
        <v>321</v>
      </c>
      <c r="N12" s="62"/>
      <c r="O12" s="62"/>
      <c r="P12" s="28">
        <f t="shared" si="2"/>
        <v>-385.31719040000007</v>
      </c>
      <c r="Q12" s="28">
        <f t="shared" si="3"/>
        <v>-652.09362439999995</v>
      </c>
      <c r="R12" s="28">
        <f t="shared" si="4"/>
        <v>3.303680600000007</v>
      </c>
      <c r="S12" s="28">
        <f t="shared" si="5"/>
        <v>813.08181259999992</v>
      </c>
      <c r="T12" s="29">
        <f t="shared" si="6"/>
        <v>221.0253216000001</v>
      </c>
    </row>
    <row r="13" spans="3:20" ht="19" customHeight="1" x14ac:dyDescent="0.45">
      <c r="C13" s="71" t="s">
        <v>322</v>
      </c>
      <c r="D13" s="62"/>
      <c r="E13" s="62"/>
      <c r="F13" s="28">
        <f>SUM(F14:F18)</f>
        <v>2250.7330579999998</v>
      </c>
      <c r="G13" s="28">
        <f t="shared" ref="G13:J13" si="9">SUM(G14:G18)</f>
        <v>2040.9638239999999</v>
      </c>
      <c r="H13" s="28">
        <f t="shared" si="9"/>
        <v>2269.0445169999998</v>
      </c>
      <c r="I13" s="28">
        <f t="shared" si="9"/>
        <v>2934.8375100000003</v>
      </c>
      <c r="J13" s="29">
        <f t="shared" si="9"/>
        <v>2529.1909500000002</v>
      </c>
      <c r="K13" s="34">
        <f t="shared" si="1"/>
        <v>2404.9539718000001</v>
      </c>
      <c r="M13" s="71" t="s">
        <v>322</v>
      </c>
      <c r="N13" s="62"/>
      <c r="O13" s="62"/>
      <c r="P13" s="28">
        <f t="shared" si="2"/>
        <v>-154.22091380000029</v>
      </c>
      <c r="Q13" s="28">
        <f t="shared" si="3"/>
        <v>-363.99014780000016</v>
      </c>
      <c r="R13" s="28">
        <f t="shared" si="4"/>
        <v>-135.90945480000028</v>
      </c>
      <c r="S13" s="28">
        <f t="shared" si="5"/>
        <v>529.8835382000002</v>
      </c>
      <c r="T13" s="29">
        <f t="shared" si="6"/>
        <v>124.23697820000007</v>
      </c>
    </row>
    <row r="14" spans="3:20" ht="19" customHeight="1" x14ac:dyDescent="0.45">
      <c r="C14" s="21"/>
      <c r="D14" s="67" t="s">
        <v>323</v>
      </c>
      <c r="E14" s="67"/>
      <c r="F14" s="39">
        <f>(sum!B29+sum!B30+sum!B63+sum!B70+sum!B71+sum!B73+sum!B74)/$J$1</f>
        <v>1760.5153769999999</v>
      </c>
      <c r="G14" s="39">
        <f>(sum!C29+sum!C30+sum!C63+sum!C70+sum!C71+sum!C73+sum!C74)/$J$1</f>
        <v>1523.698361</v>
      </c>
      <c r="H14" s="39">
        <f>(sum!D29+sum!D30+sum!D63+sum!D70+sum!D71+sum!D73+sum!D74)/$J$1</f>
        <v>1756.41176</v>
      </c>
      <c r="I14" s="39">
        <f>(sum!E29+sum!E30+sum!E63+sum!E70+sum!E71+sum!E73+sum!E74)/$J$1</f>
        <v>2238.2576279999998</v>
      </c>
      <c r="J14" s="40">
        <f>(sum!F29+sum!F30+sum!F63+sum!F70+sum!F71+sum!F73+sum!F74)/$J$1</f>
        <v>1859.101946</v>
      </c>
      <c r="K14" s="41">
        <f t="shared" si="1"/>
        <v>1827.5970143999998</v>
      </c>
      <c r="M14" s="21"/>
      <c r="N14" s="67" t="s">
        <v>323</v>
      </c>
      <c r="O14" s="67"/>
      <c r="P14" s="39">
        <f t="shared" si="2"/>
        <v>-67.081637399999863</v>
      </c>
      <c r="Q14" s="39">
        <f t="shared" si="3"/>
        <v>-303.89865339999983</v>
      </c>
      <c r="R14" s="39">
        <f t="shared" si="4"/>
        <v>-71.185254399999849</v>
      </c>
      <c r="S14" s="39">
        <f t="shared" si="5"/>
        <v>410.66061360000003</v>
      </c>
      <c r="T14" s="40">
        <f t="shared" si="6"/>
        <v>31.504931600000191</v>
      </c>
    </row>
    <row r="15" spans="3:20" ht="19" customHeight="1" x14ac:dyDescent="0.45">
      <c r="C15" s="21"/>
      <c r="D15" s="59" t="s">
        <v>324</v>
      </c>
      <c r="E15" s="59"/>
      <c r="F15" s="43">
        <f>(sum!B217+sum!B229+sum!B215)/$J$1</f>
        <v>166.81314499999999</v>
      </c>
      <c r="G15" s="43">
        <f>(sum!C217+sum!C229+sum!C215)/$J$1</f>
        <v>223.075411</v>
      </c>
      <c r="H15" s="43">
        <f>(sum!D217+sum!D229+sum!D215)/$J$1</f>
        <v>225.59484800000001</v>
      </c>
      <c r="I15" s="43">
        <f>(sum!E217+sum!E229+sum!E215)/$J$1</f>
        <v>316.04278900000003</v>
      </c>
      <c r="J15" s="44">
        <f>(sum!F217+sum!F229+sum!F215)/$J$1</f>
        <v>327.63856099999998</v>
      </c>
      <c r="K15" s="45">
        <f t="shared" si="1"/>
        <v>251.83295080000002</v>
      </c>
      <c r="M15" s="21"/>
      <c r="N15" s="59" t="s">
        <v>324</v>
      </c>
      <c r="O15" s="59"/>
      <c r="P15" s="43">
        <f t="shared" si="2"/>
        <v>-85.019805800000029</v>
      </c>
      <c r="Q15" s="43">
        <f t="shared" si="3"/>
        <v>-28.757539800000018</v>
      </c>
      <c r="R15" s="43">
        <f t="shared" si="4"/>
        <v>-26.238102800000007</v>
      </c>
      <c r="S15" s="43">
        <f t="shared" si="5"/>
        <v>64.209838200000007</v>
      </c>
      <c r="T15" s="44">
        <f t="shared" si="6"/>
        <v>75.805610199999961</v>
      </c>
    </row>
    <row r="16" spans="3:20" ht="19" customHeight="1" x14ac:dyDescent="0.45">
      <c r="C16" s="21"/>
      <c r="D16" s="59" t="s">
        <v>325</v>
      </c>
      <c r="E16" s="59"/>
      <c r="F16" s="43">
        <f>(sum!B142+sum!B133)/$J$1</f>
        <v>167.651308</v>
      </c>
      <c r="G16" s="43">
        <f>(sum!C142+sum!C133)/$J$1</f>
        <v>144.83540500000001</v>
      </c>
      <c r="H16" s="43">
        <f>(sum!D142+sum!D133)/$J$1</f>
        <v>133.04612700000001</v>
      </c>
      <c r="I16" s="43">
        <f>(sum!E142+sum!E133)/$J$1</f>
        <v>174.86032900000001</v>
      </c>
      <c r="J16" s="44">
        <f>(sum!F142+sum!F133)/$J$1</f>
        <v>149.19584599999999</v>
      </c>
      <c r="K16" s="45">
        <f t="shared" si="1"/>
        <v>153.91780299999999</v>
      </c>
      <c r="M16" s="21"/>
      <c r="N16" s="59" t="s">
        <v>325</v>
      </c>
      <c r="O16" s="59"/>
      <c r="P16" s="43">
        <f t="shared" si="2"/>
        <v>13.733505000000008</v>
      </c>
      <c r="Q16" s="43">
        <f t="shared" si="3"/>
        <v>-9.0823979999999835</v>
      </c>
      <c r="R16" s="43">
        <f t="shared" si="4"/>
        <v>-20.871675999999979</v>
      </c>
      <c r="S16" s="43">
        <f t="shared" si="5"/>
        <v>20.942526000000015</v>
      </c>
      <c r="T16" s="44">
        <f t="shared" si="6"/>
        <v>-4.7219570000000033</v>
      </c>
    </row>
    <row r="17" spans="3:20" ht="19" customHeight="1" x14ac:dyDescent="0.45">
      <c r="C17" s="21"/>
      <c r="D17" s="59" t="s">
        <v>326</v>
      </c>
      <c r="E17" s="59"/>
      <c r="F17" s="43">
        <f>(sum!B141+sum!B238)/$J$1</f>
        <v>2.611666</v>
      </c>
      <c r="G17" s="43">
        <f>(sum!C141+sum!C238)/$J$1</f>
        <v>4.871416</v>
      </c>
      <c r="H17" s="43">
        <f>(sum!D141+sum!D238)/$J$1</f>
        <v>3.1549999999999998</v>
      </c>
      <c r="I17" s="43">
        <f>(sum!E141+sum!E238)/$J$1</f>
        <v>1.046659</v>
      </c>
      <c r="J17" s="44">
        <f>(sum!F141+sum!F238)/$J$1</f>
        <v>2.1004689999999999</v>
      </c>
      <c r="K17" s="45">
        <f t="shared" si="1"/>
        <v>2.7570419999999998</v>
      </c>
      <c r="M17" s="21"/>
      <c r="N17" s="59" t="s">
        <v>326</v>
      </c>
      <c r="O17" s="59"/>
      <c r="P17" s="43">
        <f t="shared" si="2"/>
        <v>-0.14537599999999973</v>
      </c>
      <c r="Q17" s="43">
        <f t="shared" si="3"/>
        <v>2.1143740000000002</v>
      </c>
      <c r="R17" s="43">
        <f t="shared" si="4"/>
        <v>0.39795800000000003</v>
      </c>
      <c r="S17" s="43">
        <f t="shared" si="5"/>
        <v>-1.7103829999999998</v>
      </c>
      <c r="T17" s="44">
        <f t="shared" si="6"/>
        <v>-0.65657299999999985</v>
      </c>
    </row>
    <row r="18" spans="3:20" ht="19" customHeight="1" x14ac:dyDescent="0.45">
      <c r="C18" s="23"/>
      <c r="D18" s="60" t="s">
        <v>327</v>
      </c>
      <c r="E18" s="60"/>
      <c r="F18" s="47">
        <f>(sum!B115+sum!B122+sum!B126+sum!B136+sum!B151+sum!B156+sum!B164+sum!B171+sum!B178+sum!B181+sum!B193+sum!B199)/$J$1</f>
        <v>153.14156199999999</v>
      </c>
      <c r="G18" s="47">
        <f>(sum!C115+sum!C122+sum!C126+sum!C136+sum!C151+sum!C156+sum!C164+sum!C171+sum!C178+sum!C181+sum!C193+sum!C199)/$J$1</f>
        <v>144.48323099999999</v>
      </c>
      <c r="H18" s="47">
        <f>(sum!D115+sum!D122+sum!D126+sum!D136+sum!D151+sum!D156+sum!D164+sum!D171+sum!D178+sum!D181+sum!D193+sum!D199)/$J$1</f>
        <v>150.836782</v>
      </c>
      <c r="I18" s="47">
        <f>(sum!E115+sum!E122+sum!E126+sum!E136+sum!E151+sum!E156+sum!E164+sum!E171+sum!E178+sum!E181+sum!E193+sum!E199)/$J$1</f>
        <v>204.63010499999999</v>
      </c>
      <c r="J18" s="48">
        <f>(sum!F115+sum!F122+sum!F126+sum!F136+sum!F151+sum!F156+sum!F164+sum!F171+sum!F178+sum!F181+sum!F193+sum!F199)/$J$1</f>
        <v>191.15412799999999</v>
      </c>
      <c r="K18" s="49">
        <f t="shared" si="1"/>
        <v>168.84916159999997</v>
      </c>
      <c r="M18" s="23"/>
      <c r="N18" s="60" t="s">
        <v>327</v>
      </c>
      <c r="O18" s="60"/>
      <c r="P18" s="47">
        <f t="shared" si="2"/>
        <v>-15.70759959999998</v>
      </c>
      <c r="Q18" s="47">
        <f t="shared" si="3"/>
        <v>-24.365930599999984</v>
      </c>
      <c r="R18" s="47">
        <f t="shared" si="4"/>
        <v>-18.012379599999974</v>
      </c>
      <c r="S18" s="47">
        <f t="shared" si="5"/>
        <v>35.780943400000012</v>
      </c>
      <c r="T18" s="48">
        <f t="shared" si="6"/>
        <v>22.304966400000012</v>
      </c>
    </row>
    <row r="19" spans="3:20" s="7" customFormat="1" ht="19" customHeight="1" x14ac:dyDescent="0.45">
      <c r="C19" s="61" t="s">
        <v>328</v>
      </c>
      <c r="D19" s="62"/>
      <c r="E19" s="62"/>
      <c r="F19" s="28">
        <f>F12-F13</f>
        <v>427.61724300000014</v>
      </c>
      <c r="G19" s="28">
        <f t="shared" ref="G19:J19" si="10">G12-G13</f>
        <v>370.61004300000013</v>
      </c>
      <c r="H19" s="28">
        <f t="shared" si="10"/>
        <v>797.92665500000021</v>
      </c>
      <c r="I19" s="28">
        <f t="shared" si="10"/>
        <v>941.91179399999965</v>
      </c>
      <c r="J19" s="29">
        <f t="shared" si="10"/>
        <v>755.50186299999996</v>
      </c>
      <c r="K19" s="34">
        <f t="shared" si="1"/>
        <v>658.71351960000004</v>
      </c>
      <c r="M19" s="61" t="s">
        <v>328</v>
      </c>
      <c r="N19" s="62"/>
      <c r="O19" s="62"/>
      <c r="P19" s="28">
        <f t="shared" si="2"/>
        <v>-231.0962765999999</v>
      </c>
      <c r="Q19" s="28">
        <f t="shared" si="3"/>
        <v>-288.10347659999991</v>
      </c>
      <c r="R19" s="28">
        <f t="shared" si="4"/>
        <v>139.21313540000017</v>
      </c>
      <c r="S19" s="28">
        <f t="shared" si="5"/>
        <v>283.1982743999996</v>
      </c>
      <c r="T19" s="29">
        <f t="shared" si="6"/>
        <v>96.788343399999917</v>
      </c>
    </row>
    <row r="21" spans="3:20" ht="19" customHeight="1" x14ac:dyDescent="0.45">
      <c r="E21" s="30"/>
      <c r="F21" s="30"/>
      <c r="G21" s="30"/>
      <c r="H21" s="30"/>
      <c r="I21" s="30"/>
      <c r="J21" s="30"/>
      <c r="K21" s="30"/>
      <c r="P21" s="20"/>
      <c r="Q21" s="20"/>
      <c r="R21" s="20"/>
      <c r="S21" s="20"/>
      <c r="T21" s="20"/>
    </row>
    <row r="22" spans="3:20" ht="19" customHeight="1" x14ac:dyDescent="0.45">
      <c r="E22" s="50"/>
      <c r="F22" s="35"/>
      <c r="G22" s="35"/>
      <c r="H22" s="35"/>
      <c r="I22" s="35"/>
      <c r="J22" s="35"/>
      <c r="K22" s="35"/>
      <c r="L22" s="20"/>
      <c r="M22" s="20"/>
      <c r="N22" s="20"/>
      <c r="O22" s="20"/>
    </row>
    <row r="23" spans="3:20" ht="19" customHeight="1" x14ac:dyDescent="0.45">
      <c r="F23" s="35"/>
      <c r="G23" s="35"/>
      <c r="H23" s="35"/>
      <c r="I23" s="35"/>
      <c r="J23" s="35"/>
      <c r="K23" s="35"/>
      <c r="L23" s="20"/>
      <c r="M23" s="20"/>
      <c r="N23" s="20"/>
      <c r="O23" s="20"/>
    </row>
    <row r="24" spans="3:20" ht="19" customHeight="1" x14ac:dyDescent="0.45">
      <c r="C24" s="31" t="s">
        <v>341</v>
      </c>
    </row>
    <row r="25" spans="3:20" ht="19" customHeight="1" x14ac:dyDescent="0.45">
      <c r="C25" s="73" t="s">
        <v>331</v>
      </c>
      <c r="D25" s="74"/>
      <c r="E25" s="74"/>
      <c r="F25" s="74" t="s">
        <v>311</v>
      </c>
      <c r="G25" s="74" t="s">
        <v>312</v>
      </c>
      <c r="H25" s="74" t="s">
        <v>313</v>
      </c>
      <c r="I25" s="74" t="s">
        <v>314</v>
      </c>
      <c r="J25" s="72" t="s">
        <v>315</v>
      </c>
      <c r="K25" s="75" t="s">
        <v>332</v>
      </c>
      <c r="M25" s="68" t="s">
        <v>342</v>
      </c>
      <c r="N25" s="57"/>
      <c r="O25" s="57"/>
      <c r="P25" s="57" t="s">
        <v>311</v>
      </c>
      <c r="Q25" s="57" t="s">
        <v>312</v>
      </c>
      <c r="R25" s="57" t="s">
        <v>313</v>
      </c>
      <c r="S25" s="57" t="s">
        <v>314</v>
      </c>
      <c r="T25" s="58" t="s">
        <v>315</v>
      </c>
    </row>
    <row r="26" spans="3:20" ht="19" customHeight="1" x14ac:dyDescent="0.45">
      <c r="C26" s="73"/>
      <c r="D26" s="74"/>
      <c r="E26" s="74"/>
      <c r="F26" s="74"/>
      <c r="G26" s="74"/>
      <c r="H26" s="74"/>
      <c r="I26" s="74"/>
      <c r="J26" s="72"/>
      <c r="K26" s="75"/>
      <c r="M26" s="68"/>
      <c r="N26" s="57"/>
      <c r="O26" s="57"/>
      <c r="P26" s="57"/>
      <c r="Q26" s="57"/>
      <c r="R26" s="57"/>
      <c r="S26" s="57"/>
      <c r="T26" s="58"/>
    </row>
    <row r="27" spans="3:20" ht="19" customHeight="1" x14ac:dyDescent="0.45">
      <c r="C27" s="69" t="s">
        <v>329</v>
      </c>
      <c r="D27" s="70"/>
      <c r="E27" s="70"/>
      <c r="F27" s="24">
        <f>F28+F29</f>
        <v>3519.9543400000002</v>
      </c>
      <c r="G27" s="24">
        <f t="shared" ref="G27" si="11">G28+G29</f>
        <v>3389.6112720000001</v>
      </c>
      <c r="H27" s="24">
        <f t="shared" ref="H27" si="12">H28+H29</f>
        <v>4590.2535010000001</v>
      </c>
      <c r="I27" s="24">
        <f t="shared" ref="I27" si="13">I28+I29</f>
        <v>4968.1581700000006</v>
      </c>
      <c r="J27" s="25">
        <f t="shared" ref="J27" si="14">J28+J29</f>
        <v>4270.3499689999999</v>
      </c>
      <c r="K27" s="32">
        <f t="shared" ref="K27:K41" si="15">AVERAGE(F27:J27)</f>
        <v>4147.6654503999998</v>
      </c>
      <c r="M27" s="69" t="s">
        <v>329</v>
      </c>
      <c r="N27" s="70"/>
      <c r="O27" s="70"/>
      <c r="P27" s="24">
        <f>F5-F27</f>
        <v>1639.1104919999998</v>
      </c>
      <c r="Q27" s="24">
        <f t="shared" ref="Q27:T27" si="16">G5-G27</f>
        <v>1298.4674869999999</v>
      </c>
      <c r="R27" s="24">
        <f t="shared" si="16"/>
        <v>1380.589876</v>
      </c>
      <c r="S27" s="24">
        <f t="shared" si="16"/>
        <v>1810.0596389999992</v>
      </c>
      <c r="T27" s="25">
        <f t="shared" si="16"/>
        <v>1365.2183080000004</v>
      </c>
    </row>
    <row r="28" spans="3:20" ht="19" customHeight="1" x14ac:dyDescent="0.45">
      <c r="C28" s="21"/>
      <c r="D28" s="63" t="s">
        <v>316</v>
      </c>
      <c r="E28" s="64"/>
      <c r="F28" s="26">
        <f>sum_!B4/요약!$J$1</f>
        <v>1565.3433680000001</v>
      </c>
      <c r="G28" s="26">
        <f>sum_!C4/요약!$J$1</f>
        <v>1480.4769879999999</v>
      </c>
      <c r="H28" s="26">
        <f>sum_!D4/요약!$J$1</f>
        <v>2109.749538</v>
      </c>
      <c r="I28" s="26">
        <f>sum_!E4/요약!$J$1</f>
        <v>1950.7870660000001</v>
      </c>
      <c r="J28" s="27">
        <f>sum_!F4/요약!$J$1</f>
        <v>1566.2768699999999</v>
      </c>
      <c r="K28" s="33">
        <f t="shared" si="15"/>
        <v>1734.5267660000002</v>
      </c>
      <c r="M28" s="21"/>
      <c r="N28" s="63" t="s">
        <v>316</v>
      </c>
      <c r="O28" s="64"/>
      <c r="P28" s="26">
        <f t="shared" ref="P28:T28" si="17">F6-F28</f>
        <v>556.77822399999991</v>
      </c>
      <c r="Q28" s="26">
        <f t="shared" si="17"/>
        <v>487.19094200000018</v>
      </c>
      <c r="R28" s="26">
        <f t="shared" si="17"/>
        <v>341.28362800000014</v>
      </c>
      <c r="S28" s="26">
        <f t="shared" si="17"/>
        <v>544.36604800000009</v>
      </c>
      <c r="T28" s="27">
        <f t="shared" si="17"/>
        <v>427.91879000000017</v>
      </c>
    </row>
    <row r="29" spans="3:20" ht="19" customHeight="1" x14ac:dyDescent="0.45">
      <c r="C29" s="21"/>
      <c r="D29" s="65" t="s">
        <v>330</v>
      </c>
      <c r="E29" s="64"/>
      <c r="F29" s="26">
        <f>SUM(F30:F32)</f>
        <v>1954.6109719999999</v>
      </c>
      <c r="G29" s="26">
        <f t="shared" ref="G29" si="18">SUM(G30:G32)</f>
        <v>1909.1342840000002</v>
      </c>
      <c r="H29" s="26">
        <f t="shared" ref="H29" si="19">SUM(H30:H32)</f>
        <v>2480.5039630000001</v>
      </c>
      <c r="I29" s="26">
        <f t="shared" ref="I29" si="20">SUM(I30:I32)</f>
        <v>3017.3711040000003</v>
      </c>
      <c r="J29" s="27">
        <f t="shared" ref="J29" si="21">SUM(J30:J32)</f>
        <v>2704.0730990000002</v>
      </c>
      <c r="K29" s="33">
        <f t="shared" si="15"/>
        <v>2413.1386843999999</v>
      </c>
      <c r="M29" s="21"/>
      <c r="N29" s="65" t="s">
        <v>330</v>
      </c>
      <c r="O29" s="64"/>
      <c r="P29" s="26">
        <f t="shared" ref="P29:T29" si="22">F7-F29</f>
        <v>1082.3322680000006</v>
      </c>
      <c r="Q29" s="26">
        <f t="shared" si="22"/>
        <v>811.27654499999971</v>
      </c>
      <c r="R29" s="26">
        <f t="shared" si="22"/>
        <v>1039.3062479999999</v>
      </c>
      <c r="S29" s="26">
        <f t="shared" si="22"/>
        <v>1265.6935909999997</v>
      </c>
      <c r="T29" s="27">
        <f t="shared" si="22"/>
        <v>937.29951799999981</v>
      </c>
    </row>
    <row r="30" spans="3:20" ht="19" customHeight="1" x14ac:dyDescent="0.45">
      <c r="C30" s="21"/>
      <c r="D30" s="22"/>
      <c r="E30" s="38" t="s">
        <v>317</v>
      </c>
      <c r="F30" s="39">
        <f>(sum_!B14+sum_!B18+sum_!B21+sum_!B24)/요약!$J$1</f>
        <v>841.29458399999999</v>
      </c>
      <c r="G30" s="39">
        <f>(sum_!C14+sum_!C18+sum_!C21+sum_!C24)/요약!$J$1</f>
        <v>942.597936</v>
      </c>
      <c r="H30" s="39">
        <f>(sum_!D14+sum_!D18+sum_!D21+sum_!D24)/요약!$J$1</f>
        <v>1367.3700229999999</v>
      </c>
      <c r="I30" s="39">
        <f>(sum_!E14+sum_!E18+sum_!E21+sum_!E24)/요약!$J$1</f>
        <v>1319.5463589999999</v>
      </c>
      <c r="J30" s="40">
        <f>(sum_!F14+sum_!F18+sum_!F21+sum_!F24)/요약!$J$1</f>
        <v>1162.8271729999999</v>
      </c>
      <c r="K30" s="41">
        <f t="shared" si="15"/>
        <v>1126.7272149999999</v>
      </c>
      <c r="M30" s="21"/>
      <c r="N30" s="22"/>
      <c r="O30" s="38" t="s">
        <v>317</v>
      </c>
      <c r="P30" s="39">
        <f t="shared" ref="P30:T30" si="23">F8-F30</f>
        <v>954.4351650000001</v>
      </c>
      <c r="Q30" s="39">
        <f t="shared" si="23"/>
        <v>771.60474600000009</v>
      </c>
      <c r="R30" s="39">
        <f t="shared" si="23"/>
        <v>979.01859100000001</v>
      </c>
      <c r="S30" s="39">
        <f t="shared" si="23"/>
        <v>1156.1303360000002</v>
      </c>
      <c r="T30" s="40">
        <f t="shared" si="23"/>
        <v>1031.792815</v>
      </c>
    </row>
    <row r="31" spans="3:20" ht="19" customHeight="1" x14ac:dyDescent="0.45">
      <c r="C31" s="21"/>
      <c r="D31" s="8"/>
      <c r="E31" s="42" t="s">
        <v>318</v>
      </c>
      <c r="F31" s="43">
        <f>(sum_!B16+sum_!B17+sum_!B23)/요약!$J$1</f>
        <v>741.87068199999999</v>
      </c>
      <c r="G31" s="43">
        <f>(sum_!C16+sum_!C17+sum_!C23)/요약!$J$1</f>
        <v>724.74415399999998</v>
      </c>
      <c r="H31" s="43">
        <f>(sum_!D16+sum_!D17+sum_!D23)/요약!$J$1</f>
        <v>829.69922599999995</v>
      </c>
      <c r="I31" s="43">
        <f>(sum_!E16+sum_!E17+sum_!E23)/요약!$J$1</f>
        <v>1031.2011030000001</v>
      </c>
      <c r="J31" s="44">
        <f>(sum_!F16+sum_!F17+sum_!F23)/요약!$J$1</f>
        <v>957.73891100000003</v>
      </c>
      <c r="K31" s="45">
        <f t="shared" si="15"/>
        <v>857.05081519999999</v>
      </c>
      <c r="M31" s="21"/>
      <c r="N31" s="8"/>
      <c r="O31" s="42" t="s">
        <v>318</v>
      </c>
      <c r="P31" s="43">
        <f t="shared" ref="P31:T31" si="24">F9-F31</f>
        <v>-18.583470000000034</v>
      </c>
      <c r="Q31" s="43">
        <f t="shared" si="24"/>
        <v>-43.522737000000006</v>
      </c>
      <c r="R31" s="43">
        <f t="shared" si="24"/>
        <v>-50.527486999999951</v>
      </c>
      <c r="S31" s="43">
        <f t="shared" si="24"/>
        <v>-18.827436000000148</v>
      </c>
      <c r="T31" s="44">
        <f t="shared" si="24"/>
        <v>-65.139476000000059</v>
      </c>
    </row>
    <row r="32" spans="3:20" ht="19" customHeight="1" x14ac:dyDescent="0.45">
      <c r="C32" s="23"/>
      <c r="D32" s="8"/>
      <c r="E32" s="46" t="s">
        <v>319</v>
      </c>
      <c r="F32" s="47">
        <f>(sum_!B15+sum_!B20+sum_!B22)/요약!$J$1</f>
        <v>371.44570599999997</v>
      </c>
      <c r="G32" s="47">
        <f>(sum_!C15+sum_!C20+sum_!C22)/요약!$J$1</f>
        <v>241.79219399999999</v>
      </c>
      <c r="H32" s="47">
        <f>(sum_!D15+sum_!D20+sum_!D22)/요약!$J$1</f>
        <v>283.43471399999999</v>
      </c>
      <c r="I32" s="47">
        <f>(sum_!E15+sum_!E20+sum_!E22)/요약!$J$1</f>
        <v>666.62364200000002</v>
      </c>
      <c r="J32" s="48">
        <f>(sum_!F15+sum_!F20+sum_!F22)/요약!$J$1</f>
        <v>583.50701500000002</v>
      </c>
      <c r="K32" s="49">
        <f t="shared" si="15"/>
        <v>429.36065420000006</v>
      </c>
      <c r="M32" s="23"/>
      <c r="N32" s="8"/>
      <c r="O32" s="46" t="s">
        <v>319</v>
      </c>
      <c r="P32" s="47">
        <f t="shared" ref="P32:T32" si="25">F10-F32</f>
        <v>146.48057300000005</v>
      </c>
      <c r="Q32" s="47">
        <f t="shared" si="25"/>
        <v>83.194536000000028</v>
      </c>
      <c r="R32" s="47">
        <f t="shared" si="25"/>
        <v>110.81514400000003</v>
      </c>
      <c r="S32" s="47">
        <f t="shared" si="25"/>
        <v>128.39069099999995</v>
      </c>
      <c r="T32" s="48">
        <f t="shared" si="25"/>
        <v>-29.353821000000039</v>
      </c>
    </row>
    <row r="33" spans="3:20" ht="19" customHeight="1" x14ac:dyDescent="0.45">
      <c r="C33" s="61" t="s">
        <v>320</v>
      </c>
      <c r="D33" s="62"/>
      <c r="E33" s="62"/>
      <c r="F33" s="28">
        <f>sum_!B25/요약!$J$1</f>
        <v>1805.765729</v>
      </c>
      <c r="G33" s="28">
        <f>sum_!C25/요약!$J$1</f>
        <v>1745.9828729999999</v>
      </c>
      <c r="H33" s="28">
        <f>sum_!D25/요약!$J$1</f>
        <v>2390.6464940000001</v>
      </c>
      <c r="I33" s="28">
        <f>sum_!E25/요약!$J$1</f>
        <v>2337.6833099999999</v>
      </c>
      <c r="J33" s="29">
        <f>sum_!F25/요약!$J$1</f>
        <v>1877.277081</v>
      </c>
      <c r="K33" s="34">
        <f t="shared" si="15"/>
        <v>2031.4710974000002</v>
      </c>
      <c r="M33" s="61" t="s">
        <v>320</v>
      </c>
      <c r="N33" s="62"/>
      <c r="O33" s="62"/>
      <c r="P33" s="28">
        <f t="shared" ref="P33:T33" si="26">F11-F33</f>
        <v>674.94880200000011</v>
      </c>
      <c r="Q33" s="28">
        <f t="shared" si="26"/>
        <v>530.522019</v>
      </c>
      <c r="R33" s="28">
        <f t="shared" si="26"/>
        <v>513.22571100000005</v>
      </c>
      <c r="S33" s="28">
        <f t="shared" si="26"/>
        <v>563.78519499999993</v>
      </c>
      <c r="T33" s="29">
        <f t="shared" si="26"/>
        <v>473.59838300000024</v>
      </c>
    </row>
    <row r="34" spans="3:20" ht="19" customHeight="1" x14ac:dyDescent="0.45">
      <c r="C34" s="61" t="s">
        <v>321</v>
      </c>
      <c r="D34" s="62"/>
      <c r="E34" s="62"/>
      <c r="F34" s="28">
        <f>F27-F33</f>
        <v>1714.1886110000003</v>
      </c>
      <c r="G34" s="28">
        <f t="shared" ref="G34" si="27">G27-G33</f>
        <v>1643.6283990000002</v>
      </c>
      <c r="H34" s="28">
        <f t="shared" ref="H34" si="28">H27-H33</f>
        <v>2199.6070070000001</v>
      </c>
      <c r="I34" s="28">
        <f t="shared" ref="I34" si="29">I27-I33</f>
        <v>2630.4748600000007</v>
      </c>
      <c r="J34" s="29">
        <f t="shared" ref="J34" si="30">J27-J33</f>
        <v>2393.0728879999997</v>
      </c>
      <c r="K34" s="34">
        <f t="shared" si="15"/>
        <v>2116.1943530000003</v>
      </c>
      <c r="M34" s="61" t="s">
        <v>321</v>
      </c>
      <c r="N34" s="62"/>
      <c r="O34" s="62"/>
      <c r="P34" s="28">
        <f t="shared" ref="P34:T34" si="31">F12-F34</f>
        <v>964.16168999999968</v>
      </c>
      <c r="Q34" s="28">
        <f t="shared" si="31"/>
        <v>767.94546799999989</v>
      </c>
      <c r="R34" s="28">
        <f t="shared" si="31"/>
        <v>867.36416499999996</v>
      </c>
      <c r="S34" s="28">
        <f t="shared" si="31"/>
        <v>1246.2744439999992</v>
      </c>
      <c r="T34" s="29">
        <f t="shared" si="31"/>
        <v>891.61992500000042</v>
      </c>
    </row>
    <row r="35" spans="3:20" ht="19" customHeight="1" x14ac:dyDescent="0.45">
      <c r="C35" s="71" t="s">
        <v>322</v>
      </c>
      <c r="D35" s="62"/>
      <c r="E35" s="62"/>
      <c r="F35" s="28">
        <f>SUM(F36:F40)</f>
        <v>2262.7344119999998</v>
      </c>
      <c r="G35" s="28">
        <f t="shared" ref="G35" si="32">SUM(G36:G40)</f>
        <v>2037.7882610000001</v>
      </c>
      <c r="H35" s="28">
        <f t="shared" ref="H35" si="33">SUM(H36:H40)</f>
        <v>2425.7293369999998</v>
      </c>
      <c r="I35" s="28">
        <f t="shared" ref="I35" si="34">SUM(I36:I40)</f>
        <v>3106.2896040000001</v>
      </c>
      <c r="J35" s="29">
        <f t="shared" ref="J35" si="35">SUM(J36:J40)</f>
        <v>2598.3076099999998</v>
      </c>
      <c r="K35" s="34">
        <f t="shared" si="15"/>
        <v>2486.1698447999997</v>
      </c>
      <c r="M35" s="71" t="s">
        <v>322</v>
      </c>
      <c r="N35" s="62"/>
      <c r="O35" s="62"/>
      <c r="P35" s="28">
        <f t="shared" ref="P35:T35" si="36">F13-F35</f>
        <v>-12.001353999999992</v>
      </c>
      <c r="Q35" s="28">
        <f t="shared" si="36"/>
        <v>3.1755629999997836</v>
      </c>
      <c r="R35" s="28">
        <f t="shared" si="36"/>
        <v>-156.68481999999995</v>
      </c>
      <c r="S35" s="28">
        <f t="shared" si="36"/>
        <v>-171.45209399999976</v>
      </c>
      <c r="T35" s="29">
        <f t="shared" si="36"/>
        <v>-69.116659999999683</v>
      </c>
    </row>
    <row r="36" spans="3:20" ht="19" customHeight="1" x14ac:dyDescent="0.45">
      <c r="C36" s="21"/>
      <c r="D36" s="67" t="s">
        <v>323</v>
      </c>
      <c r="E36" s="67"/>
      <c r="F36" s="39">
        <f>(sum_!B29+sum_!B30+sum_!B63+sum_!B70+sum_!B71+sum_!B73+sum_!B74)/요약!$J$1</f>
        <v>1853.8066490000001</v>
      </c>
      <c r="G36" s="39">
        <f>(sum_!C29+sum_!C30+sum_!C63+sum_!C70+sum_!C71+sum_!C73+sum_!C74)/요약!$J$1</f>
        <v>1582.9026670000001</v>
      </c>
      <c r="H36" s="39">
        <f>(sum_!D29+sum_!D30+sum_!D63+sum_!D70+sum_!D71+sum_!D73+sum_!D74)/요약!$J$1</f>
        <v>1914.0492959999999</v>
      </c>
      <c r="I36" s="39">
        <f>(sum_!E29+sum_!E30+sum_!E63+sum_!E70+sum_!E71+sum_!E73+sum_!E74)/요약!$J$1</f>
        <v>2319.9487920000001</v>
      </c>
      <c r="J36" s="39">
        <f>(sum_!F29+sum_!F30+sum_!F63+sum_!F70+sum_!F71+sum_!F73+sum_!F74)/요약!$J$1</f>
        <v>2023.239204</v>
      </c>
      <c r="K36" s="41">
        <f t="shared" si="15"/>
        <v>1938.7893216</v>
      </c>
      <c r="M36" s="21"/>
      <c r="N36" s="67" t="s">
        <v>323</v>
      </c>
      <c r="O36" s="67"/>
      <c r="P36" s="39">
        <f t="shared" ref="P36:T36" si="37">F14-F36</f>
        <v>-93.291272000000163</v>
      </c>
      <c r="Q36" s="39">
        <f t="shared" si="37"/>
        <v>-59.204306000000088</v>
      </c>
      <c r="R36" s="39">
        <f t="shared" si="37"/>
        <v>-157.63753599999995</v>
      </c>
      <c r="S36" s="39">
        <f t="shared" si="37"/>
        <v>-81.691164000000299</v>
      </c>
      <c r="T36" s="40">
        <f t="shared" si="37"/>
        <v>-164.13725799999997</v>
      </c>
    </row>
    <row r="37" spans="3:20" ht="19" customHeight="1" x14ac:dyDescent="0.45">
      <c r="C37" s="21"/>
      <c r="D37" s="59" t="s">
        <v>324</v>
      </c>
      <c r="E37" s="59"/>
      <c r="F37" s="43">
        <f>(sum_!B217+sum_!B229+sum_!B215)/요약!$J$1</f>
        <v>151.08349000000001</v>
      </c>
      <c r="G37" s="43">
        <f>(sum_!C217+sum_!C229+sum_!C215)/요약!$J$1</f>
        <v>191.315628</v>
      </c>
      <c r="H37" s="43">
        <f>(sum_!D217+sum_!D229+sum_!D215)/요약!$J$1</f>
        <v>273.12937599999998</v>
      </c>
      <c r="I37" s="43">
        <f>(sum_!E217+sum_!E229+sum_!E215)/요약!$J$1</f>
        <v>455.21486900000002</v>
      </c>
      <c r="J37" s="44">
        <f>(sum_!F217+sum_!F229+sum_!F215)/요약!$J$1</f>
        <v>259.15586400000001</v>
      </c>
      <c r="K37" s="45">
        <f t="shared" si="15"/>
        <v>265.97984540000004</v>
      </c>
      <c r="M37" s="21"/>
      <c r="N37" s="59" t="s">
        <v>324</v>
      </c>
      <c r="O37" s="59"/>
      <c r="P37" s="43">
        <f t="shared" ref="P37:T37" si="38">F15-F37</f>
        <v>15.72965499999998</v>
      </c>
      <c r="Q37" s="43">
        <f t="shared" si="38"/>
        <v>31.759782999999999</v>
      </c>
      <c r="R37" s="43">
        <f t="shared" si="38"/>
        <v>-47.534527999999966</v>
      </c>
      <c r="S37" s="43">
        <f t="shared" si="38"/>
        <v>-139.17207999999999</v>
      </c>
      <c r="T37" s="44">
        <f t="shared" si="38"/>
        <v>68.482696999999973</v>
      </c>
    </row>
    <row r="38" spans="3:20" ht="19" customHeight="1" x14ac:dyDescent="0.45">
      <c r="C38" s="21"/>
      <c r="D38" s="59" t="s">
        <v>325</v>
      </c>
      <c r="E38" s="59"/>
      <c r="F38" s="43">
        <f>(sum_!B133+sum_!B142)/요약!$J$1</f>
        <v>122.81004799999999</v>
      </c>
      <c r="G38" s="43">
        <f>(sum_!C133+sum_!C142)/요약!$J$1</f>
        <v>134.24224599999999</v>
      </c>
      <c r="H38" s="43">
        <f>(sum_!D133+sum_!D142)/요약!$J$1</f>
        <v>109.427373</v>
      </c>
      <c r="I38" s="43">
        <f>(sum_!E133+sum_!E142)/요약!$J$1</f>
        <v>162.52803599999999</v>
      </c>
      <c r="J38" s="44">
        <f>(sum_!F133+sum_!F142)/요약!$J$1</f>
        <v>145.25294500000001</v>
      </c>
      <c r="K38" s="45">
        <f t="shared" si="15"/>
        <v>134.85212959999998</v>
      </c>
      <c r="M38" s="21"/>
      <c r="N38" s="59" t="s">
        <v>325</v>
      </c>
      <c r="O38" s="59"/>
      <c r="P38" s="43">
        <f t="shared" ref="P38:T38" si="39">F16-F38</f>
        <v>44.841260000000005</v>
      </c>
      <c r="Q38" s="43">
        <f t="shared" si="39"/>
        <v>10.593159000000014</v>
      </c>
      <c r="R38" s="43">
        <f t="shared" si="39"/>
        <v>23.61875400000001</v>
      </c>
      <c r="S38" s="43">
        <f t="shared" si="39"/>
        <v>12.332293000000021</v>
      </c>
      <c r="T38" s="44">
        <f t="shared" si="39"/>
        <v>3.9429009999999778</v>
      </c>
    </row>
    <row r="39" spans="3:20" ht="19" customHeight="1" x14ac:dyDescent="0.45">
      <c r="C39" s="21"/>
      <c r="D39" s="59" t="s">
        <v>326</v>
      </c>
      <c r="E39" s="59"/>
      <c r="F39" s="43">
        <f>(sum_!B238+sum_!B141)/요약!$J$1</f>
        <v>3.1436320000000002</v>
      </c>
      <c r="G39" s="43">
        <f>(sum_!C238+sum_!C141)/요약!$J$1</f>
        <v>5.4802739999999996</v>
      </c>
      <c r="H39" s="43">
        <f>(sum_!D238+sum_!D141)/요약!$J$1</f>
        <v>3.3596659999999998</v>
      </c>
      <c r="I39" s="43">
        <f>(sum_!E238+sum_!E141)/요약!$J$1</f>
        <v>1.151159</v>
      </c>
      <c r="J39" s="44">
        <f>(sum_!F238+sum_!F141)/요약!$J$1</f>
        <v>2.245927</v>
      </c>
      <c r="K39" s="45">
        <f t="shared" si="15"/>
        <v>3.0761315999999996</v>
      </c>
      <c r="M39" s="21"/>
      <c r="N39" s="59" t="s">
        <v>326</v>
      </c>
      <c r="O39" s="59"/>
      <c r="P39" s="43">
        <f t="shared" ref="P39:T39" si="40">F17-F39</f>
        <v>-0.53196600000000016</v>
      </c>
      <c r="Q39" s="43">
        <f t="shared" si="40"/>
        <v>-0.60885799999999968</v>
      </c>
      <c r="R39" s="43">
        <f t="shared" si="40"/>
        <v>-0.20466600000000001</v>
      </c>
      <c r="S39" s="43">
        <f t="shared" si="40"/>
        <v>-0.10450000000000004</v>
      </c>
      <c r="T39" s="44">
        <f t="shared" si="40"/>
        <v>-0.14545800000000009</v>
      </c>
    </row>
    <row r="40" spans="3:20" ht="19" customHeight="1" x14ac:dyDescent="0.45">
      <c r="C40" s="23"/>
      <c r="D40" s="60" t="s">
        <v>327</v>
      </c>
      <c r="E40" s="60"/>
      <c r="F40" s="47">
        <f>(sum_!B115+sum_!B122+sum_!B126+sum_!B136+sum_!B151+sum_!B156+sum_!B164+sum_!B171+sum_!B178+sum_!B181+sum_!B193+sum_!B199)/요약!$J$1</f>
        <v>131.890593</v>
      </c>
      <c r="G40" s="47">
        <f>(sum_!C115+sum_!C122+sum_!C126+sum_!C136+sum_!C151+sum_!C156+sum_!C164+sum_!C171+sum_!C178+sum_!C181+sum_!C193+sum_!C199)/요약!$J$1</f>
        <v>123.84744600000001</v>
      </c>
      <c r="H40" s="47">
        <f>(sum_!D115+sum_!D122+sum_!D126+sum_!D136+sum_!D151+sum_!D156+sum_!D164+sum_!D171+sum_!D178+sum_!D181+sum_!D193+sum_!D199)/요약!$J$1</f>
        <v>125.763626</v>
      </c>
      <c r="I40" s="47">
        <f>(sum_!E115+sum_!E122+sum_!E126+sum_!E136+sum_!E151+sum_!E156+sum_!E164+sum_!E171+sum_!E178+sum_!E181+sum_!E193+sum_!E199)/요약!$J$1</f>
        <v>167.44674800000001</v>
      </c>
      <c r="J40" s="48">
        <f>(sum_!F115+sum_!F122+sum_!F126+sum_!F136+sum_!F151+sum_!F156+sum_!F164+sum_!F171+sum_!F178+sum_!F181+sum_!F193+sum_!F199)/요약!$J$1</f>
        <v>168.41367</v>
      </c>
      <c r="K40" s="49">
        <f t="shared" si="15"/>
        <v>143.47241660000003</v>
      </c>
      <c r="M40" s="23"/>
      <c r="N40" s="60" t="s">
        <v>327</v>
      </c>
      <c r="O40" s="60"/>
      <c r="P40" s="47">
        <f t="shared" ref="P40:T40" si="41">F18-F40</f>
        <v>21.250968999999998</v>
      </c>
      <c r="Q40" s="47">
        <f t="shared" si="41"/>
        <v>20.635784999999984</v>
      </c>
      <c r="R40" s="47">
        <f t="shared" si="41"/>
        <v>25.073155999999997</v>
      </c>
      <c r="S40" s="47">
        <f t="shared" si="41"/>
        <v>37.183356999999972</v>
      </c>
      <c r="T40" s="48">
        <f t="shared" si="41"/>
        <v>22.74045799999999</v>
      </c>
    </row>
    <row r="41" spans="3:20" ht="19" customHeight="1" x14ac:dyDescent="0.45">
      <c r="C41" s="61" t="s">
        <v>328</v>
      </c>
      <c r="D41" s="62"/>
      <c r="E41" s="62"/>
      <c r="F41" s="28">
        <f>F34-F35</f>
        <v>-548.54580099999953</v>
      </c>
      <c r="G41" s="28">
        <f t="shared" ref="G41:J41" si="42">G34-G35</f>
        <v>-394.15986199999998</v>
      </c>
      <c r="H41" s="28">
        <f t="shared" si="42"/>
        <v>-226.12232999999969</v>
      </c>
      <c r="I41" s="28">
        <f t="shared" si="42"/>
        <v>-475.81474399999934</v>
      </c>
      <c r="J41" s="29">
        <f t="shared" si="42"/>
        <v>-205.23472200000015</v>
      </c>
      <c r="K41" s="34">
        <f t="shared" si="15"/>
        <v>-369.97549179999976</v>
      </c>
      <c r="M41" s="61" t="s">
        <v>328</v>
      </c>
      <c r="N41" s="62"/>
      <c r="O41" s="62"/>
      <c r="P41" s="28">
        <f t="shared" ref="P41:T41" si="43">F19-F41</f>
        <v>976.16304399999967</v>
      </c>
      <c r="Q41" s="28">
        <f t="shared" si="43"/>
        <v>764.76990500000011</v>
      </c>
      <c r="R41" s="28">
        <f t="shared" si="43"/>
        <v>1024.0489849999999</v>
      </c>
      <c r="S41" s="28">
        <f t="shared" si="43"/>
        <v>1417.726537999999</v>
      </c>
      <c r="T41" s="29">
        <f t="shared" si="43"/>
        <v>960.7365850000001</v>
      </c>
    </row>
    <row r="42" spans="3:20" ht="19" customHeight="1" x14ac:dyDescent="0.45"/>
    <row r="43" spans="3:20" ht="19" customHeight="1" x14ac:dyDescent="0.45">
      <c r="F43" s="30"/>
      <c r="G43" s="30"/>
      <c r="H43" s="30"/>
      <c r="I43" s="30"/>
      <c r="J43" s="30"/>
      <c r="K43" s="30"/>
    </row>
    <row r="44" spans="3:20" ht="19" customHeight="1" x14ac:dyDescent="0.45"/>
    <row r="45" spans="3:20" ht="19" customHeight="1" x14ac:dyDescent="0.45"/>
    <row r="46" spans="3:20" ht="19" customHeight="1" x14ac:dyDescent="0.45"/>
    <row r="47" spans="3:20" ht="19" customHeight="1" x14ac:dyDescent="0.45"/>
  </sheetData>
  <mergeCells count="74">
    <mergeCell ref="N39:O39"/>
    <mergeCell ref="N40:O40"/>
    <mergeCell ref="M41:O41"/>
    <mergeCell ref="T25:T26"/>
    <mergeCell ref="M27:O27"/>
    <mergeCell ref="N28:O28"/>
    <mergeCell ref="N29:O29"/>
    <mergeCell ref="M33:O33"/>
    <mergeCell ref="M34:O34"/>
    <mergeCell ref="S25:S26"/>
    <mergeCell ref="C41:E41"/>
    <mergeCell ref="M25:O26"/>
    <mergeCell ref="P25:P26"/>
    <mergeCell ref="Q25:Q26"/>
    <mergeCell ref="R25:R26"/>
    <mergeCell ref="M35:O35"/>
    <mergeCell ref="N36:O36"/>
    <mergeCell ref="N37:O37"/>
    <mergeCell ref="N38:O38"/>
    <mergeCell ref="C35:E35"/>
    <mergeCell ref="D36:E36"/>
    <mergeCell ref="D37:E37"/>
    <mergeCell ref="D38:E38"/>
    <mergeCell ref="D39:E39"/>
    <mergeCell ref="D40:E40"/>
    <mergeCell ref="K25:K26"/>
    <mergeCell ref="C27:E27"/>
    <mergeCell ref="D28:E28"/>
    <mergeCell ref="D29:E29"/>
    <mergeCell ref="C33:E33"/>
    <mergeCell ref="C34:E34"/>
    <mergeCell ref="C25:E26"/>
    <mergeCell ref="F25:F26"/>
    <mergeCell ref="G25:G26"/>
    <mergeCell ref="H25:H26"/>
    <mergeCell ref="I25:I26"/>
    <mergeCell ref="J25:J26"/>
    <mergeCell ref="N14:O14"/>
    <mergeCell ref="N15:O15"/>
    <mergeCell ref="N16:O16"/>
    <mergeCell ref="N17:O17"/>
    <mergeCell ref="N18:O18"/>
    <mergeCell ref="M19:O19"/>
    <mergeCell ref="M13:O13"/>
    <mergeCell ref="M3:O4"/>
    <mergeCell ref="P3:P4"/>
    <mergeCell ref="Q3:Q4"/>
    <mergeCell ref="R3:R4"/>
    <mergeCell ref="M5:O5"/>
    <mergeCell ref="N6:O6"/>
    <mergeCell ref="N7:O7"/>
    <mergeCell ref="M11:O11"/>
    <mergeCell ref="M12:O12"/>
    <mergeCell ref="S3:S4"/>
    <mergeCell ref="T3:T4"/>
    <mergeCell ref="D17:E17"/>
    <mergeCell ref="D18:E18"/>
    <mergeCell ref="C19:E19"/>
    <mergeCell ref="D6:E6"/>
    <mergeCell ref="D7:E7"/>
    <mergeCell ref="K3:K4"/>
    <mergeCell ref="D14:E14"/>
    <mergeCell ref="D15:E15"/>
    <mergeCell ref="D16:E16"/>
    <mergeCell ref="C3:E4"/>
    <mergeCell ref="C5:E5"/>
    <mergeCell ref="C11:E11"/>
    <mergeCell ref="C12:E12"/>
    <mergeCell ref="C13:E13"/>
    <mergeCell ref="F3:F4"/>
    <mergeCell ref="G3:G4"/>
    <mergeCell ref="H3:H4"/>
    <mergeCell ref="I3:I4"/>
    <mergeCell ref="J3:J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C977-6E49-443B-BB7B-8279CE0CC738}">
  <dimension ref="A1:F239"/>
  <sheetViews>
    <sheetView zoomScale="80" zoomScaleNormal="80" workbookViewId="0">
      <selection sqref="A1:A2"/>
    </sheetView>
  </sheetViews>
  <sheetFormatPr defaultRowHeight="17" outlineLevelRow="1" x14ac:dyDescent="0.45"/>
  <cols>
    <col min="1" max="1" width="23.6640625" customWidth="1"/>
    <col min="2" max="6" width="12.75" customWidth="1"/>
  </cols>
  <sheetData>
    <row r="1" spans="1:6" x14ac:dyDescent="0.45">
      <c r="A1" s="57" t="s">
        <v>0</v>
      </c>
      <c r="B1" s="57" t="s">
        <v>311</v>
      </c>
      <c r="C1" s="57" t="s">
        <v>312</v>
      </c>
      <c r="D1" s="57" t="s">
        <v>313</v>
      </c>
      <c r="E1" s="57" t="s">
        <v>314</v>
      </c>
      <c r="F1" s="57" t="s">
        <v>315</v>
      </c>
    </row>
    <row r="2" spans="1:6" x14ac:dyDescent="0.45">
      <c r="A2" s="57"/>
      <c r="B2" s="57"/>
      <c r="C2" s="57"/>
      <c r="D2" s="57"/>
      <c r="E2" s="57"/>
      <c r="F2" s="57"/>
    </row>
    <row r="3" spans="1:6" x14ac:dyDescent="0.45">
      <c r="A3" s="1" t="s">
        <v>1</v>
      </c>
      <c r="B3" s="13">
        <f>IFERROR(VLOOKUP(sum!A3,강북본부!$A:$B,2,0),0)</f>
        <v>5159064832</v>
      </c>
      <c r="C3" s="13">
        <f>IFERROR(VLOOKUP(A3,강남본부!$A:$B,2,0),0)</f>
        <v>4688078759</v>
      </c>
      <c r="D3" s="13">
        <f>IFERROR(VLOOKUP(A3,강서본부!$A:$B,2,0),0)</f>
        <v>5970843377</v>
      </c>
      <c r="E3" s="13">
        <f>IFERROR(VLOOKUP(A3,동부본부!$A:$B,2,0),0)</f>
        <v>6778217809</v>
      </c>
      <c r="F3" s="13">
        <f>IFERROR(VLOOKUP(A3,서부본부!$A:$B,2,0),0)</f>
        <v>5635568277</v>
      </c>
    </row>
    <row r="4" spans="1:6" x14ac:dyDescent="0.45">
      <c r="A4" s="2" t="s">
        <v>2</v>
      </c>
      <c r="B4" s="14">
        <f>IFERROR(VLOOKUP(sum!A4,강북본부!$A:$B,2,0),0)</f>
        <v>2122121592</v>
      </c>
      <c r="C4" s="14">
        <f>IFERROR(VLOOKUP(A4,강남본부!$A:$B,2,0),0)</f>
        <v>1967667930</v>
      </c>
      <c r="D4" s="14">
        <f>IFERROR(VLOOKUP(A4,강서본부!$A:$B,2,0),0)</f>
        <v>2451033166</v>
      </c>
      <c r="E4" s="14">
        <f>IFERROR(VLOOKUP(A4,동부본부!$A:$B,2,0),0)</f>
        <v>2495153114</v>
      </c>
      <c r="F4" s="14">
        <f>IFERROR(VLOOKUP(A4,서부본부!$A:$B,2,0),0)</f>
        <v>1994195660</v>
      </c>
    </row>
    <row r="5" spans="1:6" hidden="1" outlineLevel="1" x14ac:dyDescent="0.45">
      <c r="A5" s="3" t="s">
        <v>3</v>
      </c>
      <c r="B5" s="15">
        <f>IFERROR(VLOOKUP(sum!A5,강북본부!$A:$B,2,0),0)</f>
        <v>2058090</v>
      </c>
      <c r="C5" s="15">
        <f>IFERROR(VLOOKUP(A5,강남본부!$A:$B,2,0),0)</f>
        <v>2693273</v>
      </c>
      <c r="D5" s="15">
        <f>IFERROR(VLOOKUP(A5,강서본부!$A:$B,2,0),0)</f>
        <v>10925854</v>
      </c>
      <c r="E5" s="15">
        <f>IFERROR(VLOOKUP(A5,동부본부!$A:$B,2,0),0)</f>
        <v>12235444</v>
      </c>
      <c r="F5" s="15">
        <f>IFERROR(VLOOKUP(A5,서부본부!$A:$B,2,0),0)</f>
        <v>6551478</v>
      </c>
    </row>
    <row r="6" spans="1:6" hidden="1" outlineLevel="1" x14ac:dyDescent="0.45">
      <c r="A6" s="3" t="s">
        <v>4</v>
      </c>
      <c r="B6" s="15">
        <f>IFERROR(VLOOKUP(sum!A6,강북본부!$A:$B,2,0),0)</f>
        <v>0</v>
      </c>
      <c r="C6" s="15">
        <f>IFERROR(VLOOKUP(A6,강남본부!$A:$B,2,0),0)</f>
        <v>0</v>
      </c>
      <c r="D6" s="15">
        <f>IFERROR(VLOOKUP(A6,강서본부!$A:$B,2,0),0)</f>
        <v>0</v>
      </c>
      <c r="E6" s="15">
        <f>IFERROR(VLOOKUP(A6,동부본부!$A:$B,2,0),0)</f>
        <v>0</v>
      </c>
      <c r="F6" s="15">
        <f>IFERROR(VLOOKUP(A6,서부본부!$A:$B,2,0),0)</f>
        <v>0</v>
      </c>
    </row>
    <row r="7" spans="1:6" hidden="1" outlineLevel="1" x14ac:dyDescent="0.45">
      <c r="A7" s="3" t="s">
        <v>5</v>
      </c>
      <c r="B7" s="15">
        <f>IFERROR(VLOOKUP(sum!A7,강북본부!$A:$B,2,0),0)</f>
        <v>0</v>
      </c>
      <c r="C7" s="15">
        <f>IFERROR(VLOOKUP(A7,강남본부!$A:$B,2,0),0)</f>
        <v>0</v>
      </c>
      <c r="D7" s="15">
        <f>IFERROR(VLOOKUP(A7,강서본부!$A:$B,2,0),0)</f>
        <v>0</v>
      </c>
      <c r="E7" s="15">
        <f>IFERROR(VLOOKUP(A7,동부본부!$A:$B,2,0),0)</f>
        <v>0</v>
      </c>
      <c r="F7" s="15">
        <f>IFERROR(VLOOKUP(A7,서부본부!$A:$B,2,0),0)</f>
        <v>0</v>
      </c>
    </row>
    <row r="8" spans="1:6" hidden="1" outlineLevel="1" x14ac:dyDescent="0.45">
      <c r="A8" s="3" t="s">
        <v>6</v>
      </c>
      <c r="B8" s="15">
        <f>IFERROR(VLOOKUP(sum!A8,강북본부!$A:$B,2,0),0)</f>
        <v>2024158954</v>
      </c>
      <c r="C8" s="15">
        <f>IFERROR(VLOOKUP(A8,강남본부!$A:$B,2,0),0)</f>
        <v>1875142292</v>
      </c>
      <c r="D8" s="15">
        <f>IFERROR(VLOOKUP(A8,강서본부!$A:$B,2,0),0)</f>
        <v>2269806798</v>
      </c>
      <c r="E8" s="15">
        <f>IFERROR(VLOOKUP(A8,동부본부!$A:$B,2,0),0)</f>
        <v>2355017293</v>
      </c>
      <c r="F8" s="15">
        <f>IFERROR(VLOOKUP(A8,서부본부!$A:$B,2,0),0)</f>
        <v>1879651928</v>
      </c>
    </row>
    <row r="9" spans="1:6" hidden="1" outlineLevel="1" x14ac:dyDescent="0.45">
      <c r="A9" s="3" t="s">
        <v>7</v>
      </c>
      <c r="B9" s="15">
        <f>IFERROR(VLOOKUP(sum!A9,강북본부!$A:$B,2,0),0)</f>
        <v>42497188</v>
      </c>
      <c r="C9" s="15">
        <f>IFERROR(VLOOKUP(A9,강남본부!$A:$B,2,0),0)</f>
        <v>43595517</v>
      </c>
      <c r="D9" s="15">
        <f>IFERROR(VLOOKUP(A9,강서본부!$A:$B,2,0),0)</f>
        <v>67854354</v>
      </c>
      <c r="E9" s="15">
        <f>IFERROR(VLOOKUP(A9,동부본부!$A:$B,2,0),0)</f>
        <v>58351818</v>
      </c>
      <c r="F9" s="15">
        <f>IFERROR(VLOOKUP(A9,서부본부!$A:$B,2,0),0)</f>
        <v>50175462</v>
      </c>
    </row>
    <row r="10" spans="1:6" hidden="1" outlineLevel="1" x14ac:dyDescent="0.45">
      <c r="A10" s="3" t="s">
        <v>8</v>
      </c>
      <c r="B10" s="15">
        <f>IFERROR(VLOOKUP(sum!A10,강북본부!$A:$B,2,0),0)</f>
        <v>0</v>
      </c>
      <c r="C10" s="15">
        <f>IFERROR(VLOOKUP(A10,강남본부!$A:$B,2,0),0)</f>
        <v>0</v>
      </c>
      <c r="D10" s="15">
        <f>IFERROR(VLOOKUP(A10,강서본부!$A:$B,2,0),0)</f>
        <v>0</v>
      </c>
      <c r="E10" s="15">
        <f>IFERROR(VLOOKUP(A10,동부본부!$A:$B,2,0),0)</f>
        <v>0</v>
      </c>
      <c r="F10" s="15">
        <f>IFERROR(VLOOKUP(A10,서부본부!$A:$B,2,0),0)</f>
        <v>0</v>
      </c>
    </row>
    <row r="11" spans="1:6" hidden="1" outlineLevel="1" x14ac:dyDescent="0.45">
      <c r="A11" s="3" t="s">
        <v>9</v>
      </c>
      <c r="B11" s="15">
        <f>IFERROR(VLOOKUP(sum!A11,강북본부!$A:$B,2,0),0)</f>
        <v>53407360</v>
      </c>
      <c r="C11" s="15">
        <f>IFERROR(VLOOKUP(A11,강남본부!$A:$B,2,0),0)</f>
        <v>46236848</v>
      </c>
      <c r="D11" s="15">
        <f>IFERROR(VLOOKUP(A11,강서본부!$A:$B,2,0),0)</f>
        <v>102446160</v>
      </c>
      <c r="E11" s="15">
        <f>IFERROR(VLOOKUP(A11,동부본부!$A:$B,2,0),0)</f>
        <v>69548559</v>
      </c>
      <c r="F11" s="15">
        <f>IFERROR(VLOOKUP(A11,서부본부!$A:$B,2,0),0)</f>
        <v>57816792</v>
      </c>
    </row>
    <row r="12" spans="1:6" hidden="1" outlineLevel="1" x14ac:dyDescent="0.45">
      <c r="A12" s="3" t="s">
        <v>10</v>
      </c>
      <c r="B12" s="15">
        <f>IFERROR(VLOOKUP(sum!A12,강북본부!$A:$B,2,0),0)</f>
        <v>0</v>
      </c>
      <c r="C12" s="15">
        <f>IFERROR(VLOOKUP(A12,강남본부!$A:$B,2,0),0)</f>
        <v>0</v>
      </c>
      <c r="D12" s="15">
        <f>IFERROR(VLOOKUP(A12,강서본부!$A:$B,2,0),0)</f>
        <v>0</v>
      </c>
      <c r="E12" s="15">
        <f>IFERROR(VLOOKUP(A12,동부본부!$A:$B,2,0),0)</f>
        <v>0</v>
      </c>
      <c r="F12" s="15">
        <f>IFERROR(VLOOKUP(A12,서부본부!$A:$B,2,0),0)</f>
        <v>0</v>
      </c>
    </row>
    <row r="13" spans="1:6" collapsed="1" x14ac:dyDescent="0.45">
      <c r="A13" s="2" t="s">
        <v>11</v>
      </c>
      <c r="B13" s="14">
        <f>IFERROR(VLOOKUP(sum!A13,강북본부!$A:$B,2,0),0)</f>
        <v>3036943240</v>
      </c>
      <c r="C13" s="14">
        <f>IFERROR(VLOOKUP(A13,강남본부!$A:$B,2,0),0)</f>
        <v>2720410829</v>
      </c>
      <c r="D13" s="14">
        <f>IFERROR(VLOOKUP(A13,강서본부!$A:$B,2,0),0)</f>
        <v>3519810211</v>
      </c>
      <c r="E13" s="14">
        <f>IFERROR(VLOOKUP(A13,동부본부!$A:$B,2,0),0)</f>
        <v>4283064695</v>
      </c>
      <c r="F13" s="14">
        <f>IFERROR(VLOOKUP(A13,서부본부!$A:$B,2,0),0)</f>
        <v>3641372617</v>
      </c>
    </row>
    <row r="14" spans="1:6" hidden="1" outlineLevel="1" x14ac:dyDescent="0.45">
      <c r="A14" s="36" t="s">
        <v>12</v>
      </c>
      <c r="B14" s="37">
        <f>IFERROR(VLOOKUP(sum!A14,강북본부!$A:$B,2,0),0)</f>
        <v>1431919308</v>
      </c>
      <c r="C14" s="37">
        <f>IFERROR(VLOOKUP(A14,강남본부!$A:$B,2,0),0)</f>
        <v>1357374190</v>
      </c>
      <c r="D14" s="37">
        <f>IFERROR(VLOOKUP(A14,강서본부!$A:$B,2,0),0)</f>
        <v>1862124512</v>
      </c>
      <c r="E14" s="37">
        <f>IFERROR(VLOOKUP(A14,동부본부!$A:$B,2,0),0)</f>
        <v>1963911955</v>
      </c>
      <c r="F14" s="37">
        <f>IFERROR(VLOOKUP(A14,서부본부!$A:$B,2,0),0)</f>
        <v>1647684587</v>
      </c>
    </row>
    <row r="15" spans="1:6" hidden="1" outlineLevel="1" x14ac:dyDescent="0.45">
      <c r="A15" s="36" t="s">
        <v>13</v>
      </c>
      <c r="B15" s="37">
        <f>IFERROR(VLOOKUP(sum!A15,강북본부!$A:$B,2,0),0)</f>
        <v>24354091</v>
      </c>
      <c r="C15" s="37">
        <f>IFERROR(VLOOKUP(A15,강남본부!$A:$B,2,0),0)</f>
        <v>7979636</v>
      </c>
      <c r="D15" s="37">
        <f>IFERROR(VLOOKUP(A15,강서본부!$A:$B,2,0),0)</f>
        <v>29432727</v>
      </c>
      <c r="E15" s="37">
        <f>IFERROR(VLOOKUP(A15,동부본부!$A:$B,2,0),0)</f>
        <v>13652272</v>
      </c>
      <c r="F15" s="37">
        <f>IFERROR(VLOOKUP(A15,서부본부!$A:$B,2,0),0)</f>
        <v>10911668</v>
      </c>
    </row>
    <row r="16" spans="1:6" hidden="1" outlineLevel="1" x14ac:dyDescent="0.45">
      <c r="A16" s="36" t="s">
        <v>14</v>
      </c>
      <c r="B16" s="37">
        <f>IFERROR(VLOOKUP(sum!A16,강북본부!$A:$B,2,0),0)</f>
        <v>572057194</v>
      </c>
      <c r="C16" s="37">
        <f>IFERROR(VLOOKUP(A16,강남본부!$A:$B,2,0),0)</f>
        <v>549799608</v>
      </c>
      <c r="D16" s="37">
        <f>IFERROR(VLOOKUP(A16,강서본부!$A:$B,2,0),0)</f>
        <v>623504520</v>
      </c>
      <c r="E16" s="37">
        <f>IFERROR(VLOOKUP(A16,동부본부!$A:$B,2,0),0)</f>
        <v>835152698</v>
      </c>
      <c r="F16" s="37">
        <f>IFERROR(VLOOKUP(A16,서부본부!$A:$B,2,0),0)</f>
        <v>727535552</v>
      </c>
    </row>
    <row r="17" spans="1:6" hidden="1" outlineLevel="1" x14ac:dyDescent="0.45">
      <c r="A17" s="36" t="s">
        <v>15</v>
      </c>
      <c r="B17" s="37">
        <f>IFERROR(VLOOKUP(sum!A17,강북본부!$A:$B,2,0),0)</f>
        <v>17593641</v>
      </c>
      <c r="C17" s="37">
        <f>IFERROR(VLOOKUP(A17,강남본부!$A:$B,2,0),0)</f>
        <v>16876343</v>
      </c>
      <c r="D17" s="37">
        <f>IFERROR(VLOOKUP(A17,강서본부!$A:$B,2,0),0)</f>
        <v>19303569</v>
      </c>
      <c r="E17" s="37">
        <f>IFERROR(VLOOKUP(A17,동부본부!$A:$B,2,0),0)</f>
        <v>21766408</v>
      </c>
      <c r="F17" s="37">
        <f>IFERROR(VLOOKUP(A17,서부본부!$A:$B,2,0),0)</f>
        <v>17791141</v>
      </c>
    </row>
    <row r="18" spans="1:6" hidden="1" outlineLevel="1" x14ac:dyDescent="0.45">
      <c r="A18" s="36" t="s">
        <v>16</v>
      </c>
      <c r="B18" s="37">
        <f>IFERROR(VLOOKUP(sum!A18,강북본부!$A:$B,2,0),0)</f>
        <v>363810441</v>
      </c>
      <c r="C18" s="37">
        <f>IFERROR(VLOOKUP(A18,강남본부!$A:$B,2,0),0)</f>
        <v>356828492</v>
      </c>
      <c r="D18" s="37">
        <f>IFERROR(VLOOKUP(A18,강서본부!$A:$B,2,0),0)</f>
        <v>465264102</v>
      </c>
      <c r="E18" s="37">
        <f>IFERROR(VLOOKUP(A18,동부본부!$A:$B,2,0),0)</f>
        <v>511764740</v>
      </c>
      <c r="F18" s="37">
        <f>IFERROR(VLOOKUP(A18,서부본부!$A:$B,2,0),0)</f>
        <v>546935401</v>
      </c>
    </row>
    <row r="19" spans="1:6" hidden="1" outlineLevel="1" x14ac:dyDescent="0.45">
      <c r="A19" s="36" t="s">
        <v>17</v>
      </c>
      <c r="B19" s="37">
        <f>IFERROR(VLOOKUP(sum!A19,강북본부!$A:$B,2,0),0)</f>
        <v>0</v>
      </c>
      <c r="C19" s="37">
        <f>IFERROR(VLOOKUP(A19,강남본부!$A:$B,2,0),0)</f>
        <v>0</v>
      </c>
      <c r="D19" s="37">
        <f>IFERROR(VLOOKUP(A19,강서본부!$A:$B,2,0),0)</f>
        <v>0</v>
      </c>
      <c r="E19" s="37">
        <f>IFERROR(VLOOKUP(A19,동부본부!$A:$B,2,0),0)</f>
        <v>0</v>
      </c>
      <c r="F19" s="37">
        <f>IFERROR(VLOOKUP(A19,서부본부!$A:$B,2,0),0)</f>
        <v>0</v>
      </c>
    </row>
    <row r="20" spans="1:6" hidden="1" outlineLevel="1" x14ac:dyDescent="0.45">
      <c r="A20" s="36" t="s">
        <v>18</v>
      </c>
      <c r="B20" s="37">
        <f>IFERROR(VLOOKUP(sum!A20,강북본부!$A:$B,2,0),0)</f>
        <v>0</v>
      </c>
      <c r="C20" s="37">
        <f>IFERROR(VLOOKUP(A20,강남본부!$A:$B,2,0),0)</f>
        <v>0</v>
      </c>
      <c r="D20" s="37">
        <f>IFERROR(VLOOKUP(A20,강서본부!$A:$B,2,0),0)</f>
        <v>0</v>
      </c>
      <c r="E20" s="37">
        <f>IFERROR(VLOOKUP(A20,동부본부!$A:$B,2,0),0)</f>
        <v>0</v>
      </c>
      <c r="F20" s="37">
        <f>IFERROR(VLOOKUP(A20,서부본부!$A:$B,2,0),0)</f>
        <v>0</v>
      </c>
    </row>
    <row r="21" spans="1:6" hidden="1" outlineLevel="1" x14ac:dyDescent="0.45">
      <c r="A21" s="36" t="s">
        <v>19</v>
      </c>
      <c r="B21" s="37">
        <f>IFERROR(VLOOKUP(sum!A21,강북본부!$A:$B,2,0),0)</f>
        <v>0</v>
      </c>
      <c r="C21" s="37">
        <f>IFERROR(VLOOKUP(A21,강남본부!$A:$B,2,0),0)</f>
        <v>0</v>
      </c>
      <c r="D21" s="37">
        <f>IFERROR(VLOOKUP(A21,강서본부!$A:$B,2,0),0)</f>
        <v>19000000</v>
      </c>
      <c r="E21" s="37">
        <f>IFERROR(VLOOKUP(A21,동부본부!$A:$B,2,0),0)</f>
        <v>0</v>
      </c>
      <c r="F21" s="37">
        <f>IFERROR(VLOOKUP(A21,서부본부!$A:$B,2,0),0)</f>
        <v>0</v>
      </c>
    </row>
    <row r="22" spans="1:6" hidden="1" outlineLevel="1" x14ac:dyDescent="0.45">
      <c r="A22" s="36" t="s">
        <v>20</v>
      </c>
      <c r="B22" s="37">
        <f>IFERROR(VLOOKUP(sum!A22,강북본부!$A:$B,2,0),0)</f>
        <v>493572188</v>
      </c>
      <c r="C22" s="37">
        <f>IFERROR(VLOOKUP(A22,강남본부!$A:$B,2,0),0)</f>
        <v>317007094</v>
      </c>
      <c r="D22" s="37">
        <f>IFERROR(VLOOKUP(A22,강서본부!$A:$B,2,0),0)</f>
        <v>364817131</v>
      </c>
      <c r="E22" s="37">
        <f>IFERROR(VLOOKUP(A22,동부본부!$A:$B,2,0),0)</f>
        <v>781362061</v>
      </c>
      <c r="F22" s="37">
        <f>IFERROR(VLOOKUP(A22,서부본부!$A:$B,2,0),0)</f>
        <v>543241526</v>
      </c>
    </row>
    <row r="23" spans="1:6" hidden="1" outlineLevel="1" x14ac:dyDescent="0.45">
      <c r="A23" s="36" t="s">
        <v>21</v>
      </c>
      <c r="B23" s="37">
        <f>IFERROR(VLOOKUP(sum!A23,강북본부!$A:$B,2,0),0)</f>
        <v>133636377</v>
      </c>
      <c r="C23" s="37">
        <f>IFERROR(VLOOKUP(A23,강남본부!$A:$B,2,0),0)</f>
        <v>114545466</v>
      </c>
      <c r="D23" s="37">
        <f>IFERROR(VLOOKUP(A23,강서본부!$A:$B,2,0),0)</f>
        <v>136363650</v>
      </c>
      <c r="E23" s="37">
        <f>IFERROR(VLOOKUP(A23,동부본부!$A:$B,2,0),0)</f>
        <v>155454561</v>
      </c>
      <c r="F23" s="37">
        <f>IFERROR(VLOOKUP(A23,서부본부!$A:$B,2,0),0)</f>
        <v>147272742</v>
      </c>
    </row>
    <row r="24" spans="1:6" hidden="1" outlineLevel="1" x14ac:dyDescent="0.45">
      <c r="A24" s="36" t="s">
        <v>22</v>
      </c>
      <c r="B24" s="37">
        <f>IFERROR(VLOOKUP(sum!A24,강북본부!$A:$B,2,0),0)</f>
        <v>0</v>
      </c>
      <c r="C24" s="37">
        <f>IFERROR(VLOOKUP(A24,강남본부!$A:$B,2,0),0)</f>
        <v>0</v>
      </c>
      <c r="D24" s="37">
        <f>IFERROR(VLOOKUP(A24,강서본부!$A:$B,2,0),0)</f>
        <v>0</v>
      </c>
      <c r="E24" s="37">
        <f>IFERROR(VLOOKUP(A24,동부본부!$A:$B,2,0),0)</f>
        <v>0</v>
      </c>
      <c r="F24" s="37">
        <f>IFERROR(VLOOKUP(A24,서부본부!$A:$B,2,0),0)</f>
        <v>0</v>
      </c>
    </row>
    <row r="25" spans="1:6" collapsed="1" x14ac:dyDescent="0.45">
      <c r="A25" s="1" t="s">
        <v>23</v>
      </c>
      <c r="B25" s="13">
        <f>IFERROR(VLOOKUP(sum!A25,강북본부!$A:$B,2,0),0)</f>
        <v>2480714531</v>
      </c>
      <c r="C25" s="13">
        <f>IFERROR(VLOOKUP(A25,강남본부!$A:$B,2,0),0)</f>
        <v>2276504892</v>
      </c>
      <c r="D25" s="13">
        <f>IFERROR(VLOOKUP(A25,강서본부!$A:$B,2,0),0)</f>
        <v>2903872205</v>
      </c>
      <c r="E25" s="13">
        <f>IFERROR(VLOOKUP(A25,동부본부!$A:$B,2,0),0)</f>
        <v>2901468505</v>
      </c>
      <c r="F25" s="13">
        <f>IFERROR(VLOOKUP(A25,서부본부!$A:$B,2,0),0)</f>
        <v>2350875464</v>
      </c>
    </row>
    <row r="26" spans="1:6" x14ac:dyDescent="0.45">
      <c r="A26" s="2" t="s">
        <v>24</v>
      </c>
      <c r="B26" s="14">
        <f>IFERROR(VLOOKUP(sum!A26,강북본부!$A:$B,2,0),0)</f>
        <v>2480714531</v>
      </c>
      <c r="C26" s="14">
        <f>IFERROR(VLOOKUP(A26,강남본부!$A:$B,2,0),0)</f>
        <v>2276504892</v>
      </c>
      <c r="D26" s="14">
        <f>IFERROR(VLOOKUP(A26,강서본부!$A:$B,2,0),0)</f>
        <v>2903872205</v>
      </c>
      <c r="E26" s="14">
        <f>IFERROR(VLOOKUP(A26,동부본부!$A:$B,2,0),0)</f>
        <v>2901468505</v>
      </c>
      <c r="F26" s="14">
        <f>IFERROR(VLOOKUP(A26,서부본부!$A:$B,2,0),0)</f>
        <v>2350875464</v>
      </c>
    </row>
    <row r="27" spans="1:6" x14ac:dyDescent="0.45">
      <c r="A27" s="1" t="s">
        <v>25</v>
      </c>
      <c r="B27" s="13">
        <f>IFERROR(VLOOKUP(sum!A27,강북본부!$A:$B,2,0),0)</f>
        <v>2678350301</v>
      </c>
      <c r="C27" s="13">
        <f>IFERROR(VLOOKUP(A27,강남본부!$A:$B,2,0),0)</f>
        <v>2411573867</v>
      </c>
      <c r="D27" s="13">
        <f>IFERROR(VLOOKUP(A27,강서본부!$A:$B,2,0),0)</f>
        <v>3066971172</v>
      </c>
      <c r="E27" s="13">
        <f>IFERROR(VLOOKUP(A27,동부본부!$A:$B,2,0),0)</f>
        <v>3876749304</v>
      </c>
      <c r="F27" s="13">
        <f>IFERROR(VLOOKUP(A27,서부본부!$A:$B,2,0),0)</f>
        <v>3284692813</v>
      </c>
    </row>
    <row r="28" spans="1:6" x14ac:dyDescent="0.45">
      <c r="A28" s="1" t="s">
        <v>26</v>
      </c>
      <c r="B28" s="13">
        <f>IFERROR(VLOOKUP(sum!A28,강북본부!$A:$B,2,0),0)</f>
        <v>2250733058</v>
      </c>
      <c r="C28" s="13">
        <f>IFERROR(VLOOKUP(A28,강남본부!$A:$B,2,0),0)</f>
        <v>2040963824</v>
      </c>
      <c r="D28" s="13">
        <f>IFERROR(VLOOKUP(A28,강서본부!$A:$B,2,0),0)</f>
        <v>2269044517</v>
      </c>
      <c r="E28" s="13">
        <f>IFERROR(VLOOKUP(A28,동부본부!$A:$B,2,0),0)</f>
        <v>2934837510</v>
      </c>
      <c r="F28" s="13">
        <f>IFERROR(VLOOKUP(A28,서부본부!$A:$B,2,0),0)</f>
        <v>2529190950</v>
      </c>
    </row>
    <row r="29" spans="1:6" x14ac:dyDescent="0.45">
      <c r="A29" s="2" t="s">
        <v>27</v>
      </c>
      <c r="B29" s="14">
        <f>IFERROR(VLOOKUP(sum!A29,강북본부!$A:$B,2,0),0)</f>
        <v>0</v>
      </c>
      <c r="C29" s="14">
        <f>IFERROR(VLOOKUP(A29,강남본부!$A:$B,2,0),0)</f>
        <v>11867040</v>
      </c>
      <c r="D29" s="14">
        <f>IFERROR(VLOOKUP(A29,강서본부!$A:$B,2,0),0)</f>
        <v>11350800</v>
      </c>
      <c r="E29" s="14">
        <f>IFERROR(VLOOKUP(A29,동부본부!$A:$B,2,0),0)</f>
        <v>11690700</v>
      </c>
      <c r="F29" s="14">
        <f>IFERROR(VLOOKUP(A29,서부본부!$A:$B,2,0),0)</f>
        <v>11268110</v>
      </c>
    </row>
    <row r="30" spans="1:6" x14ac:dyDescent="0.45">
      <c r="A30" s="2" t="s">
        <v>28</v>
      </c>
      <c r="B30" s="14">
        <f>IFERROR(VLOOKUP(sum!A30,강북본부!$A:$B,2,0),0)</f>
        <v>985725040</v>
      </c>
      <c r="C30" s="14">
        <f>IFERROR(VLOOKUP(A30,강남본부!$A:$B,2,0),0)</f>
        <v>828909230</v>
      </c>
      <c r="D30" s="14">
        <f>IFERROR(VLOOKUP(A30,강서본부!$A:$B,2,0),0)</f>
        <v>943585930</v>
      </c>
      <c r="E30" s="14">
        <f>IFERROR(VLOOKUP(A30,동부본부!$A:$B,2,0),0)</f>
        <v>1233790663</v>
      </c>
      <c r="F30" s="14">
        <f>IFERROR(VLOOKUP(A30,서부본부!$A:$B,2,0),0)</f>
        <v>1079403770</v>
      </c>
    </row>
    <row r="31" spans="1:6" hidden="1" outlineLevel="1" x14ac:dyDescent="0.45">
      <c r="A31" s="3" t="s">
        <v>29</v>
      </c>
      <c r="B31" s="15">
        <f>IFERROR(VLOOKUP(sum!A31,강북본부!$A:$B,2,0),0)</f>
        <v>66880060</v>
      </c>
      <c r="C31" s="15">
        <f>IFERROR(VLOOKUP(A31,강남본부!$A:$B,2,0),0)</f>
        <v>64425190</v>
      </c>
      <c r="D31" s="15">
        <f>IFERROR(VLOOKUP(A31,강서본부!$A:$B,2,0),0)</f>
        <v>43745760</v>
      </c>
      <c r="E31" s="15">
        <f>IFERROR(VLOOKUP(A31,동부본부!$A:$B,2,0),0)</f>
        <v>82474160</v>
      </c>
      <c r="F31" s="15">
        <f>IFERROR(VLOOKUP(A31,서부본부!$A:$B,2,0),0)</f>
        <v>71726040</v>
      </c>
    </row>
    <row r="32" spans="1:6" hidden="1" outlineLevel="1" x14ac:dyDescent="0.45">
      <c r="A32" s="3" t="s">
        <v>30</v>
      </c>
      <c r="B32" s="15">
        <f>IFERROR(VLOOKUP(sum!A32,강북본부!$A:$B,2,0),0)</f>
        <v>12457690</v>
      </c>
      <c r="C32" s="15">
        <f>IFERROR(VLOOKUP(A32,강남본부!$A:$B,2,0),0)</f>
        <v>11817530</v>
      </c>
      <c r="D32" s="15">
        <f>IFERROR(VLOOKUP(A32,강서본부!$A:$B,2,0),0)</f>
        <v>7985770</v>
      </c>
      <c r="E32" s="15">
        <f>IFERROR(VLOOKUP(A32,동부본부!$A:$B,2,0),0)</f>
        <v>14802400</v>
      </c>
      <c r="F32" s="15">
        <f>IFERROR(VLOOKUP(A32,서부본부!$A:$B,2,0),0)</f>
        <v>13251100</v>
      </c>
    </row>
    <row r="33" spans="1:6" hidden="1" outlineLevel="1" x14ac:dyDescent="0.45">
      <c r="A33" s="3" t="s">
        <v>31</v>
      </c>
      <c r="B33" s="15">
        <f>IFERROR(VLOOKUP(sum!A33,강북본부!$A:$B,2,0),0)</f>
        <v>4200000</v>
      </c>
      <c r="C33" s="15">
        <f>IFERROR(VLOOKUP(A33,강남본부!$A:$B,2,0),0)</f>
        <v>2800000</v>
      </c>
      <c r="D33" s="15">
        <f>IFERROR(VLOOKUP(A33,강서본부!$A:$B,2,0),0)</f>
        <v>1400000</v>
      </c>
      <c r="E33" s="15">
        <f>IFERROR(VLOOKUP(A33,동부본부!$A:$B,2,0),0)</f>
        <v>3500000</v>
      </c>
      <c r="F33" s="15">
        <f>IFERROR(VLOOKUP(A33,서부본부!$A:$B,2,0),0)</f>
        <v>3500000</v>
      </c>
    </row>
    <row r="34" spans="1:6" hidden="1" outlineLevel="1" x14ac:dyDescent="0.45">
      <c r="A34" s="3" t="s">
        <v>32</v>
      </c>
      <c r="B34" s="15">
        <f>IFERROR(VLOOKUP(sum!A34,강북본부!$A:$B,2,0),0)</f>
        <v>0</v>
      </c>
      <c r="C34" s="15">
        <f>IFERROR(VLOOKUP(A34,강남본부!$A:$B,2,0),0)</f>
        <v>5287500</v>
      </c>
      <c r="D34" s="15">
        <f>IFERROR(VLOOKUP(A34,강서본부!$A:$B,2,0),0)</f>
        <v>6199250</v>
      </c>
      <c r="E34" s="15">
        <f>IFERROR(VLOOKUP(A34,동부본부!$A:$B,2,0),0)</f>
        <v>0</v>
      </c>
      <c r="F34" s="15">
        <f>IFERROR(VLOOKUP(A34,서부본부!$A:$B,2,0),0)</f>
        <v>6452820</v>
      </c>
    </row>
    <row r="35" spans="1:6" hidden="1" outlineLevel="1" x14ac:dyDescent="0.45">
      <c r="A35" s="3" t="s">
        <v>33</v>
      </c>
      <c r="B35" s="15">
        <f>IFERROR(VLOOKUP(sum!A35,강북본부!$A:$B,2,0),0)</f>
        <v>1169320</v>
      </c>
      <c r="C35" s="15">
        <f>IFERROR(VLOOKUP(A35,강남본부!$A:$B,2,0),0)</f>
        <v>1734430</v>
      </c>
      <c r="D35" s="15">
        <f>IFERROR(VLOOKUP(A35,강서본부!$A:$B,2,0),0)</f>
        <v>1261280</v>
      </c>
      <c r="E35" s="15">
        <f>IFERROR(VLOOKUP(A35,동부본부!$A:$B,2,0),0)</f>
        <v>2126810</v>
      </c>
      <c r="F35" s="15">
        <f>IFERROR(VLOOKUP(A35,서부본부!$A:$B,2,0),0)</f>
        <v>1650630</v>
      </c>
    </row>
    <row r="36" spans="1:6" hidden="1" outlineLevel="1" x14ac:dyDescent="0.45">
      <c r="A36" s="3" t="s">
        <v>34</v>
      </c>
      <c r="B36" s="15">
        <f>IFERROR(VLOOKUP(sum!A36,강북본부!$A:$B,2,0),0)</f>
        <v>1697340</v>
      </c>
      <c r="C36" s="15">
        <f>IFERROR(VLOOKUP(A36,강남본부!$A:$B,2,0),0)</f>
        <v>714360</v>
      </c>
      <c r="D36" s="15">
        <f>IFERROR(VLOOKUP(A36,강서본부!$A:$B,2,0),0)</f>
        <v>39210</v>
      </c>
      <c r="E36" s="15">
        <f>IFERROR(VLOOKUP(A36,동부본부!$A:$B,2,0),0)</f>
        <v>1200000</v>
      </c>
      <c r="F36" s="15">
        <f>IFERROR(VLOOKUP(A36,서부본부!$A:$B,2,0),0)</f>
        <v>577550</v>
      </c>
    </row>
    <row r="37" spans="1:6" hidden="1" outlineLevel="1" x14ac:dyDescent="0.45">
      <c r="A37" s="3" t="s">
        <v>35</v>
      </c>
      <c r="B37" s="15">
        <f>IFERROR(VLOOKUP(sum!A37,강북본부!$A:$B,2,0),0)</f>
        <v>0</v>
      </c>
      <c r="C37" s="15">
        <f>IFERROR(VLOOKUP(A37,강남본부!$A:$B,2,0),0)</f>
        <v>4310380</v>
      </c>
      <c r="D37" s="15">
        <f>IFERROR(VLOOKUP(A37,강서본부!$A:$B,2,0),0)</f>
        <v>17241520</v>
      </c>
      <c r="E37" s="15">
        <f>IFERROR(VLOOKUP(A37,동부본부!$A:$B,2,0),0)</f>
        <v>0</v>
      </c>
      <c r="F37" s="15">
        <f>IFERROR(VLOOKUP(A37,서부본부!$A:$B,2,0),0)</f>
        <v>0</v>
      </c>
    </row>
    <row r="38" spans="1:6" hidden="1" outlineLevel="1" x14ac:dyDescent="0.45">
      <c r="A38" s="3" t="s">
        <v>36</v>
      </c>
      <c r="B38" s="15">
        <f>IFERROR(VLOOKUP(sum!A38,강북본부!$A:$B,2,0),0)</f>
        <v>0</v>
      </c>
      <c r="C38" s="15">
        <f>IFERROR(VLOOKUP(A38,강남본부!$A:$B,2,0),0)</f>
        <v>729540</v>
      </c>
      <c r="D38" s="15">
        <f>IFERROR(VLOOKUP(A38,강서본부!$A:$B,2,0),0)</f>
        <v>2918160</v>
      </c>
      <c r="E38" s="15">
        <f>IFERROR(VLOOKUP(A38,동부본부!$A:$B,2,0),0)</f>
        <v>0</v>
      </c>
      <c r="F38" s="15">
        <f>IFERROR(VLOOKUP(A38,서부본부!$A:$B,2,0),0)</f>
        <v>0</v>
      </c>
    </row>
    <row r="39" spans="1:6" hidden="1" outlineLevel="1" x14ac:dyDescent="0.45">
      <c r="A39" s="3" t="s">
        <v>37</v>
      </c>
      <c r="B39" s="15">
        <f>IFERROR(VLOOKUP(sum!A39,강북본부!$A:$B,2,0),0)</f>
        <v>0</v>
      </c>
      <c r="C39" s="15">
        <f>IFERROR(VLOOKUP(A39,강남본부!$A:$B,2,0),0)</f>
        <v>0</v>
      </c>
      <c r="D39" s="15">
        <f>IFERROR(VLOOKUP(A39,강서본부!$A:$B,2,0),0)</f>
        <v>0</v>
      </c>
      <c r="E39" s="15">
        <f>IFERROR(VLOOKUP(A39,동부본부!$A:$B,2,0),0)</f>
        <v>0</v>
      </c>
      <c r="F39" s="15">
        <f>IFERROR(VLOOKUP(A39,서부본부!$A:$B,2,0),0)</f>
        <v>0</v>
      </c>
    </row>
    <row r="40" spans="1:6" hidden="1" outlineLevel="1" x14ac:dyDescent="0.45">
      <c r="A40" s="3" t="s">
        <v>38</v>
      </c>
      <c r="B40" s="15">
        <f>IFERROR(VLOOKUP(sum!A40,강북본부!$A:$B,2,0),0)</f>
        <v>0</v>
      </c>
      <c r="C40" s="15">
        <f>IFERROR(VLOOKUP(A40,강남본부!$A:$B,2,0),0)</f>
        <v>0</v>
      </c>
      <c r="D40" s="15">
        <f>IFERROR(VLOOKUP(A40,강서본부!$A:$B,2,0),0)</f>
        <v>0</v>
      </c>
      <c r="E40" s="15">
        <f>IFERROR(VLOOKUP(A40,동부본부!$A:$B,2,0),0)</f>
        <v>0</v>
      </c>
      <c r="F40" s="15">
        <f>IFERROR(VLOOKUP(A40,서부본부!$A:$B,2,0),0)</f>
        <v>0</v>
      </c>
    </row>
    <row r="41" spans="1:6" hidden="1" outlineLevel="1" x14ac:dyDescent="0.45">
      <c r="A41" s="3" t="s">
        <v>39</v>
      </c>
      <c r="B41" s="15">
        <f>IFERROR(VLOOKUP(sum!A41,강북본부!$A:$B,2,0),0)</f>
        <v>0</v>
      </c>
      <c r="C41" s="15">
        <f>IFERROR(VLOOKUP(A41,강남본부!$A:$B,2,0),0)</f>
        <v>0</v>
      </c>
      <c r="D41" s="15">
        <f>IFERROR(VLOOKUP(A41,강서본부!$A:$B,2,0),0)</f>
        <v>0</v>
      </c>
      <c r="E41" s="15">
        <f>IFERROR(VLOOKUP(A41,동부본부!$A:$B,2,0),0)</f>
        <v>0</v>
      </c>
      <c r="F41" s="15">
        <f>IFERROR(VLOOKUP(A41,서부본부!$A:$B,2,0),0)</f>
        <v>0</v>
      </c>
    </row>
    <row r="42" spans="1:6" hidden="1" outlineLevel="1" x14ac:dyDescent="0.45">
      <c r="A42" s="3" t="s">
        <v>40</v>
      </c>
      <c r="B42" s="15">
        <f>IFERROR(VLOOKUP(sum!A42,강북본부!$A:$B,2,0),0)</f>
        <v>0</v>
      </c>
      <c r="C42" s="15">
        <f>IFERROR(VLOOKUP(A42,강남본부!$A:$B,2,0),0)</f>
        <v>0</v>
      </c>
      <c r="D42" s="15">
        <f>IFERROR(VLOOKUP(A42,강서본부!$A:$B,2,0),0)</f>
        <v>0</v>
      </c>
      <c r="E42" s="15">
        <f>IFERROR(VLOOKUP(A42,동부본부!$A:$B,2,0),0)</f>
        <v>0</v>
      </c>
      <c r="F42" s="15">
        <f>IFERROR(VLOOKUP(A42,서부본부!$A:$B,2,0),0)</f>
        <v>0</v>
      </c>
    </row>
    <row r="43" spans="1:6" hidden="1" outlineLevel="1" x14ac:dyDescent="0.45">
      <c r="A43" s="3" t="s">
        <v>41</v>
      </c>
      <c r="B43" s="15">
        <f>IFERROR(VLOOKUP(sum!A43,강북본부!$A:$B,2,0),0)</f>
        <v>2245000</v>
      </c>
      <c r="C43" s="15">
        <f>IFERROR(VLOOKUP(A43,강남본부!$A:$B,2,0),0)</f>
        <v>2405000</v>
      </c>
      <c r="D43" s="15">
        <f>IFERROR(VLOOKUP(A43,강서본부!$A:$B,2,0),0)</f>
        <v>1940000</v>
      </c>
      <c r="E43" s="15">
        <f>IFERROR(VLOOKUP(A43,동부본부!$A:$B,2,0),0)</f>
        <v>3100000</v>
      </c>
      <c r="F43" s="15">
        <f>IFERROR(VLOOKUP(A43,서부본부!$A:$B,2,0),0)</f>
        <v>2875000</v>
      </c>
    </row>
    <row r="44" spans="1:6" hidden="1" outlineLevel="1" x14ac:dyDescent="0.45">
      <c r="A44" s="3" t="s">
        <v>42</v>
      </c>
      <c r="B44" s="15">
        <f>IFERROR(VLOOKUP(sum!A44,강북본부!$A:$B,2,0),0)</f>
        <v>0</v>
      </c>
      <c r="C44" s="15">
        <f>IFERROR(VLOOKUP(A44,강남본부!$A:$B,2,0),0)</f>
        <v>0</v>
      </c>
      <c r="D44" s="15">
        <f>IFERROR(VLOOKUP(A44,강서본부!$A:$B,2,0),0)</f>
        <v>0</v>
      </c>
      <c r="E44" s="15">
        <f>IFERROR(VLOOKUP(A44,동부본부!$A:$B,2,0),0)</f>
        <v>0</v>
      </c>
      <c r="F44" s="15">
        <f>IFERROR(VLOOKUP(A44,서부본부!$A:$B,2,0),0)</f>
        <v>0</v>
      </c>
    </row>
    <row r="45" spans="1:6" hidden="1" outlineLevel="1" x14ac:dyDescent="0.45">
      <c r="A45" s="3" t="s">
        <v>43</v>
      </c>
      <c r="B45" s="15">
        <f>IFERROR(VLOOKUP(sum!A45,강북본부!$A:$B,2,0),0)</f>
        <v>0</v>
      </c>
      <c r="C45" s="15">
        <f>IFERROR(VLOOKUP(A45,강남본부!$A:$B,2,0),0)</f>
        <v>310000</v>
      </c>
      <c r="D45" s="15">
        <f>IFERROR(VLOOKUP(A45,강서본부!$A:$B,2,0),0)</f>
        <v>1240000</v>
      </c>
      <c r="E45" s="15">
        <f>IFERROR(VLOOKUP(A45,동부본부!$A:$B,2,0),0)</f>
        <v>0</v>
      </c>
      <c r="F45" s="15">
        <f>IFERROR(VLOOKUP(A45,서부본부!$A:$B,2,0),0)</f>
        <v>0</v>
      </c>
    </row>
    <row r="46" spans="1:6" hidden="1" outlineLevel="1" x14ac:dyDescent="0.45">
      <c r="A46" s="3" t="s">
        <v>44</v>
      </c>
      <c r="B46" s="15">
        <f>IFERROR(VLOOKUP(sum!A46,강북본부!$A:$B,2,0),0)</f>
        <v>0</v>
      </c>
      <c r="C46" s="15">
        <f>IFERROR(VLOOKUP(A46,강남본부!$A:$B,2,0),0)</f>
        <v>0</v>
      </c>
      <c r="D46" s="15">
        <f>IFERROR(VLOOKUP(A46,강서본부!$A:$B,2,0),0)</f>
        <v>0</v>
      </c>
      <c r="E46" s="15">
        <f>IFERROR(VLOOKUP(A46,동부본부!$A:$B,2,0),0)</f>
        <v>0</v>
      </c>
      <c r="F46" s="15">
        <f>IFERROR(VLOOKUP(A46,서부본부!$A:$B,2,0),0)</f>
        <v>0</v>
      </c>
    </row>
    <row r="47" spans="1:6" hidden="1" outlineLevel="1" x14ac:dyDescent="0.45">
      <c r="A47" s="3" t="s">
        <v>45</v>
      </c>
      <c r="B47" s="15">
        <f>IFERROR(VLOOKUP(sum!A47,강북본부!$A:$B,2,0),0)</f>
        <v>0</v>
      </c>
      <c r="C47" s="15">
        <f>IFERROR(VLOOKUP(A47,강남본부!$A:$B,2,0),0)</f>
        <v>0</v>
      </c>
      <c r="D47" s="15">
        <f>IFERROR(VLOOKUP(A47,강서본부!$A:$B,2,0),0)</f>
        <v>0</v>
      </c>
      <c r="E47" s="15">
        <f>IFERROR(VLOOKUP(A47,동부본부!$A:$B,2,0),0)</f>
        <v>0</v>
      </c>
      <c r="F47" s="15">
        <f>IFERROR(VLOOKUP(A47,서부본부!$A:$B,2,0),0)</f>
        <v>0</v>
      </c>
    </row>
    <row r="48" spans="1:6" hidden="1" outlineLevel="1" x14ac:dyDescent="0.45">
      <c r="A48" s="3" t="s">
        <v>46</v>
      </c>
      <c r="B48" s="15">
        <f>IFERROR(VLOOKUP(sum!A48,강북본부!$A:$B,2,0),0)</f>
        <v>692889430</v>
      </c>
      <c r="C48" s="15">
        <f>IFERROR(VLOOKUP(A48,강남본부!$A:$B,2,0),0)</f>
        <v>573029770</v>
      </c>
      <c r="D48" s="15">
        <f>IFERROR(VLOOKUP(A48,강서본부!$A:$B,2,0),0)</f>
        <v>672319370</v>
      </c>
      <c r="E48" s="15">
        <f>IFERROR(VLOOKUP(A48,동부본부!$A:$B,2,0),0)</f>
        <v>875299080</v>
      </c>
      <c r="F48" s="15">
        <f>IFERROR(VLOOKUP(A48,서부본부!$A:$B,2,0),0)</f>
        <v>753020590</v>
      </c>
    </row>
    <row r="49" spans="1:6" hidden="1" outlineLevel="1" x14ac:dyDescent="0.45">
      <c r="A49" s="3" t="s">
        <v>47</v>
      </c>
      <c r="B49" s="15">
        <f>IFERROR(VLOOKUP(sum!A49,강북본부!$A:$B,2,0),0)</f>
        <v>119241560</v>
      </c>
      <c r="C49" s="15">
        <f>IFERROR(VLOOKUP(A49,강남본부!$A:$B,2,0),0)</f>
        <v>95432950</v>
      </c>
      <c r="D49" s="15">
        <f>IFERROR(VLOOKUP(A49,강서본부!$A:$B,2,0),0)</f>
        <v>114923290</v>
      </c>
      <c r="E49" s="15">
        <f>IFERROR(VLOOKUP(A49,동부본부!$A:$B,2,0),0)</f>
        <v>148228510</v>
      </c>
      <c r="F49" s="15">
        <f>IFERROR(VLOOKUP(A49,서부본부!$A:$B,2,0),0)</f>
        <v>127423120</v>
      </c>
    </row>
    <row r="50" spans="1:6" hidden="1" outlineLevel="1" x14ac:dyDescent="0.45">
      <c r="A50" s="3" t="s">
        <v>48</v>
      </c>
      <c r="B50" s="15">
        <f>IFERROR(VLOOKUP(sum!A50,강북본부!$A:$B,2,0),0)</f>
        <v>22138730</v>
      </c>
      <c r="C50" s="15">
        <f>IFERROR(VLOOKUP(A50,강남본부!$A:$B,2,0),0)</f>
        <v>19445170</v>
      </c>
      <c r="D50" s="15">
        <f>IFERROR(VLOOKUP(A50,강서본부!$A:$B,2,0),0)</f>
        <v>23600010</v>
      </c>
      <c r="E50" s="15">
        <f>IFERROR(VLOOKUP(A50,동부본부!$A:$B,2,0),0)</f>
        <v>27145190</v>
      </c>
      <c r="F50" s="15">
        <f>IFERROR(VLOOKUP(A50,서부본부!$A:$B,2,0),0)</f>
        <v>25135510</v>
      </c>
    </row>
    <row r="51" spans="1:6" hidden="1" outlineLevel="1" x14ac:dyDescent="0.45">
      <c r="A51" s="3" t="s">
        <v>49</v>
      </c>
      <c r="B51" s="15">
        <f>IFERROR(VLOOKUP(sum!A51,강북본부!$A:$B,2,0),0)</f>
        <v>46505000</v>
      </c>
      <c r="C51" s="15">
        <f>IFERROR(VLOOKUP(A51,강남본부!$A:$B,2,0),0)</f>
        <v>38725000</v>
      </c>
      <c r="D51" s="15">
        <f>IFERROR(VLOOKUP(A51,강서본부!$A:$B,2,0),0)</f>
        <v>45625000</v>
      </c>
      <c r="E51" s="15">
        <f>IFERROR(VLOOKUP(A51,동부본부!$A:$B,2,0),0)</f>
        <v>58685000</v>
      </c>
      <c r="F51" s="15">
        <f>IFERROR(VLOOKUP(A51,서부본부!$A:$B,2,0),0)</f>
        <v>51360000</v>
      </c>
    </row>
    <row r="52" spans="1:6" hidden="1" outlineLevel="1" x14ac:dyDescent="0.45">
      <c r="A52" s="3" t="s">
        <v>50</v>
      </c>
      <c r="B52" s="15">
        <f>IFERROR(VLOOKUP(sum!A52,강북본부!$A:$B,2,0),0)</f>
        <v>0</v>
      </c>
      <c r="C52" s="15">
        <f>IFERROR(VLOOKUP(A52,강남본부!$A:$B,2,0),0)</f>
        <v>20000</v>
      </c>
      <c r="D52" s="15">
        <f>IFERROR(VLOOKUP(A52,강서본부!$A:$B,2,0),0)</f>
        <v>20000</v>
      </c>
      <c r="E52" s="15">
        <f>IFERROR(VLOOKUP(A52,동부본부!$A:$B,2,0),0)</f>
        <v>0</v>
      </c>
      <c r="F52" s="15">
        <f>IFERROR(VLOOKUP(A52,서부본부!$A:$B,2,0),0)</f>
        <v>40000</v>
      </c>
    </row>
    <row r="53" spans="1:6" hidden="1" outlineLevel="1" x14ac:dyDescent="0.45">
      <c r="A53" s="3" t="s">
        <v>51</v>
      </c>
      <c r="B53" s="15">
        <f>IFERROR(VLOOKUP(sum!A53,강북본부!$A:$B,2,0),0)</f>
        <v>0</v>
      </c>
      <c r="C53" s="15">
        <f>IFERROR(VLOOKUP(A53,강남본부!$A:$B,2,0),0)</f>
        <v>0</v>
      </c>
      <c r="D53" s="15">
        <f>IFERROR(VLOOKUP(A53,강서본부!$A:$B,2,0),0)</f>
        <v>0</v>
      </c>
      <c r="E53" s="15">
        <f>IFERROR(VLOOKUP(A53,동부본부!$A:$B,2,0),0)</f>
        <v>0</v>
      </c>
      <c r="F53" s="15">
        <f>IFERROR(VLOOKUP(A53,서부본부!$A:$B,2,0),0)</f>
        <v>0</v>
      </c>
    </row>
    <row r="54" spans="1:6" hidden="1" outlineLevel="1" x14ac:dyDescent="0.45">
      <c r="A54" s="3" t="s">
        <v>52</v>
      </c>
      <c r="B54" s="15">
        <f>IFERROR(VLOOKUP(sum!A54,강북본부!$A:$B,2,0),0)</f>
        <v>3472120</v>
      </c>
      <c r="C54" s="15">
        <f>IFERROR(VLOOKUP(A54,강남본부!$A:$B,2,0),0)</f>
        <v>0</v>
      </c>
      <c r="D54" s="15">
        <f>IFERROR(VLOOKUP(A54,강서본부!$A:$B,2,0),0)</f>
        <v>942080</v>
      </c>
      <c r="E54" s="15">
        <f>IFERROR(VLOOKUP(A54,동부본부!$A:$B,2,0),0)</f>
        <v>2140550</v>
      </c>
      <c r="F54" s="15">
        <f>IFERROR(VLOOKUP(A54,서부본부!$A:$B,2,0),0)</f>
        <v>5768300</v>
      </c>
    </row>
    <row r="55" spans="1:6" hidden="1" outlineLevel="1" x14ac:dyDescent="0.45">
      <c r="A55" s="3" t="s">
        <v>53</v>
      </c>
      <c r="B55" s="15">
        <f>IFERROR(VLOOKUP(sum!A55,강북본부!$A:$B,2,0),0)</f>
        <v>8024880</v>
      </c>
      <c r="C55" s="15">
        <f>IFERROR(VLOOKUP(A55,강남본부!$A:$B,2,0),0)</f>
        <v>5349920</v>
      </c>
      <c r="D55" s="15">
        <f>IFERROR(VLOOKUP(A55,강서본부!$A:$B,2,0),0)</f>
        <v>0</v>
      </c>
      <c r="E55" s="15">
        <f>IFERROR(VLOOKUP(A55,동부본부!$A:$B,2,0),0)</f>
        <v>8024880</v>
      </c>
      <c r="F55" s="15">
        <f>IFERROR(VLOOKUP(A55,서부본부!$A:$B,2,0),0)</f>
        <v>12166760</v>
      </c>
    </row>
    <row r="56" spans="1:6" hidden="1" outlineLevel="1" x14ac:dyDescent="0.45">
      <c r="A56" s="3" t="s">
        <v>54</v>
      </c>
      <c r="B56" s="15">
        <f>IFERROR(VLOOKUP(sum!A56,강북본부!$A:$B,2,0),0)</f>
        <v>265290</v>
      </c>
      <c r="C56" s="15">
        <f>IFERROR(VLOOKUP(A56,강남본부!$A:$B,2,0),0)</f>
        <v>0</v>
      </c>
      <c r="D56" s="15">
        <f>IFERROR(VLOOKUP(A56,강서본부!$A:$B,2,0),0)</f>
        <v>0</v>
      </c>
      <c r="E56" s="15">
        <f>IFERROR(VLOOKUP(A56,동부본부!$A:$B,2,0),0)</f>
        <v>0</v>
      </c>
      <c r="F56" s="15">
        <f>IFERROR(VLOOKUP(A56,서부본부!$A:$B,2,0),0)</f>
        <v>0</v>
      </c>
    </row>
    <row r="57" spans="1:6" hidden="1" outlineLevel="1" x14ac:dyDescent="0.45">
      <c r="A57" s="3" t="s">
        <v>55</v>
      </c>
      <c r="B57" s="15">
        <f>IFERROR(VLOOKUP(sum!A57,강북본부!$A:$B,2,0),0)</f>
        <v>0</v>
      </c>
      <c r="C57" s="15">
        <f>IFERROR(VLOOKUP(A57,강남본부!$A:$B,2,0),0)</f>
        <v>0</v>
      </c>
      <c r="D57" s="15">
        <f>IFERROR(VLOOKUP(A57,강서본부!$A:$B,2,0),0)</f>
        <v>0</v>
      </c>
      <c r="E57" s="15">
        <f>IFERROR(VLOOKUP(A57,동부본부!$A:$B,2,0),0)</f>
        <v>0</v>
      </c>
      <c r="F57" s="15">
        <f>IFERROR(VLOOKUP(A57,서부본부!$A:$B,2,0),0)</f>
        <v>0</v>
      </c>
    </row>
    <row r="58" spans="1:6" hidden="1" outlineLevel="1" x14ac:dyDescent="0.45">
      <c r="A58" s="3" t="s">
        <v>56</v>
      </c>
      <c r="B58" s="15">
        <f>IFERROR(VLOOKUP(sum!A58,강북본부!$A:$B,2,0),0)</f>
        <v>2638620</v>
      </c>
      <c r="C58" s="15">
        <f>IFERROR(VLOOKUP(A58,강남본부!$A:$B,2,0),0)</f>
        <v>1872490</v>
      </c>
      <c r="D58" s="15">
        <f>IFERROR(VLOOKUP(A58,강서본부!$A:$B,2,0),0)</f>
        <v>2185230</v>
      </c>
      <c r="E58" s="15">
        <f>IFERROR(VLOOKUP(A58,동부본부!$A:$B,2,0),0)</f>
        <v>2227420</v>
      </c>
      <c r="F58" s="15">
        <f>IFERROR(VLOOKUP(A58,서부본부!$A:$B,2,0),0)</f>
        <v>2256350</v>
      </c>
    </row>
    <row r="59" spans="1:6" hidden="1" outlineLevel="1" x14ac:dyDescent="0.45">
      <c r="A59" s="3" t="s">
        <v>57</v>
      </c>
      <c r="B59" s="15">
        <f>IFERROR(VLOOKUP(sum!A59,강북본부!$A:$B,2,0),0)</f>
        <v>0</v>
      </c>
      <c r="C59" s="15">
        <f>IFERROR(VLOOKUP(A59,강남본부!$A:$B,2,0),0)</f>
        <v>0</v>
      </c>
      <c r="D59" s="15">
        <f>IFERROR(VLOOKUP(A59,강서본부!$A:$B,2,0),0)</f>
        <v>0</v>
      </c>
      <c r="E59" s="15">
        <f>IFERROR(VLOOKUP(A59,동부본부!$A:$B,2,0),0)</f>
        <v>0</v>
      </c>
      <c r="F59" s="15">
        <f>IFERROR(VLOOKUP(A59,서부본부!$A:$B,2,0),0)</f>
        <v>0</v>
      </c>
    </row>
    <row r="60" spans="1:6" hidden="1" outlineLevel="1" x14ac:dyDescent="0.45">
      <c r="A60" s="3" t="s">
        <v>58</v>
      </c>
      <c r="B60" s="15">
        <f>IFERROR(VLOOKUP(sum!A60,강북본부!$A:$B,2,0),0)</f>
        <v>1900000</v>
      </c>
      <c r="C60" s="15">
        <f>IFERROR(VLOOKUP(A60,강남본부!$A:$B,2,0),0)</f>
        <v>500000</v>
      </c>
      <c r="D60" s="15">
        <f>IFERROR(VLOOKUP(A60,강서본부!$A:$B,2,0),0)</f>
        <v>0</v>
      </c>
      <c r="E60" s="15">
        <f>IFERROR(VLOOKUP(A60,동부본부!$A:$B,2,0),0)</f>
        <v>4836663</v>
      </c>
      <c r="F60" s="15">
        <f>IFERROR(VLOOKUP(A60,서부본부!$A:$B,2,0),0)</f>
        <v>2200000</v>
      </c>
    </row>
    <row r="61" spans="1:6" hidden="1" outlineLevel="1" x14ac:dyDescent="0.45">
      <c r="A61" s="4" t="s">
        <v>59</v>
      </c>
      <c r="B61" s="16">
        <f>IFERROR(VLOOKUP(sum!A61,강북본부!$A:$B,2,0),0)</f>
        <v>0</v>
      </c>
      <c r="C61" s="16">
        <f>IFERROR(VLOOKUP(A61,강남본부!$A:$B,2,0),0)</f>
        <v>0</v>
      </c>
      <c r="D61" s="16">
        <f>IFERROR(VLOOKUP(A61,강서본부!$A:$B,2,0),0)</f>
        <v>0</v>
      </c>
      <c r="E61" s="16">
        <f>IFERROR(VLOOKUP(A61,동부본부!$A:$B,2,0),0)</f>
        <v>0</v>
      </c>
      <c r="F61" s="16">
        <f>IFERROR(VLOOKUP(A61,서부본부!$A:$B,2,0),0)</f>
        <v>0</v>
      </c>
    </row>
    <row r="62" spans="1:6" hidden="1" outlineLevel="1" x14ac:dyDescent="0.45">
      <c r="A62" s="3" t="s">
        <v>60</v>
      </c>
      <c r="B62" s="15">
        <f>IFERROR(VLOOKUP(sum!A62,강북본부!$A:$B,2,0),0)</f>
        <v>0</v>
      </c>
      <c r="C62" s="15">
        <f>IFERROR(VLOOKUP(A62,강남본부!$A:$B,2,0),0)</f>
        <v>0</v>
      </c>
      <c r="D62" s="15">
        <f>IFERROR(VLOOKUP(A62,강서본부!$A:$B,2,0),0)</f>
        <v>0</v>
      </c>
      <c r="E62" s="15">
        <f>IFERROR(VLOOKUP(A62,동부본부!$A:$B,2,0),0)</f>
        <v>0</v>
      </c>
      <c r="F62" s="15">
        <f>IFERROR(VLOOKUP(A62,서부본부!$A:$B,2,0),0)</f>
        <v>0</v>
      </c>
    </row>
    <row r="63" spans="1:6" collapsed="1" x14ac:dyDescent="0.45">
      <c r="A63" s="2" t="s">
        <v>61</v>
      </c>
      <c r="B63" s="14">
        <f>IFERROR(VLOOKUP(sum!A63,강북본부!$A:$B,2,0),0)</f>
        <v>388371160</v>
      </c>
      <c r="C63" s="14">
        <f>IFERROR(VLOOKUP(A63,강남본부!$A:$B,2,0),0)</f>
        <v>333157170</v>
      </c>
      <c r="D63" s="14">
        <f>IFERROR(VLOOKUP(A63,강서본부!$A:$B,2,0),0)</f>
        <v>364761570</v>
      </c>
      <c r="E63" s="14">
        <f>IFERROR(VLOOKUP(A63,동부본부!$A:$B,2,0),0)</f>
        <v>485460340</v>
      </c>
      <c r="F63" s="14">
        <f>IFERROR(VLOOKUP(A63,서부본부!$A:$B,2,0),0)</f>
        <v>396630090</v>
      </c>
    </row>
    <row r="64" spans="1:6" hidden="1" outlineLevel="1" x14ac:dyDescent="0.45">
      <c r="A64" s="3" t="s">
        <v>62</v>
      </c>
      <c r="B64" s="15">
        <f>IFERROR(VLOOKUP(sum!A64,강북본부!$A:$B,2,0),0)</f>
        <v>73010960</v>
      </c>
      <c r="C64" s="15">
        <f>IFERROR(VLOOKUP(A64,강남본부!$A:$B,2,0),0)</f>
        <v>71048090</v>
      </c>
      <c r="D64" s="15">
        <f>IFERROR(VLOOKUP(A64,강서본부!$A:$B,2,0),0)</f>
        <v>50173930</v>
      </c>
      <c r="E64" s="15">
        <f>IFERROR(VLOOKUP(A64,동부본부!$A:$B,2,0),0)</f>
        <v>92333230</v>
      </c>
      <c r="F64" s="15">
        <f>IFERROR(VLOOKUP(A64,서부본부!$A:$B,2,0),0)</f>
        <v>74522260</v>
      </c>
    </row>
    <row r="65" spans="1:6" hidden="1" outlineLevel="1" x14ac:dyDescent="0.45">
      <c r="A65" s="3" t="s">
        <v>63</v>
      </c>
      <c r="B65" s="15">
        <f>IFERROR(VLOOKUP(sum!A65,강북본부!$A:$B,2,0),0)</f>
        <v>0</v>
      </c>
      <c r="C65" s="15">
        <f>IFERROR(VLOOKUP(A65,강남본부!$A:$B,2,0),0)</f>
        <v>0</v>
      </c>
      <c r="D65" s="15">
        <f>IFERROR(VLOOKUP(A65,강서본부!$A:$B,2,0),0)</f>
        <v>0</v>
      </c>
      <c r="E65" s="15">
        <f>IFERROR(VLOOKUP(A65,동부본부!$A:$B,2,0),0)</f>
        <v>0</v>
      </c>
      <c r="F65" s="15">
        <f>IFERROR(VLOOKUP(A65,서부본부!$A:$B,2,0),0)</f>
        <v>0</v>
      </c>
    </row>
    <row r="66" spans="1:6" hidden="1" outlineLevel="1" x14ac:dyDescent="0.45">
      <c r="A66" s="3" t="s">
        <v>64</v>
      </c>
      <c r="B66" s="15">
        <f>IFERROR(VLOOKUP(sum!A66,강북본부!$A:$B,2,0),0)</f>
        <v>0</v>
      </c>
      <c r="C66" s="15">
        <f>IFERROR(VLOOKUP(A66,강남본부!$A:$B,2,0),0)</f>
        <v>0</v>
      </c>
      <c r="D66" s="15">
        <f>IFERROR(VLOOKUP(A66,강서본부!$A:$B,2,0),0)</f>
        <v>0</v>
      </c>
      <c r="E66" s="15">
        <f>IFERROR(VLOOKUP(A66,동부본부!$A:$B,2,0),0)</f>
        <v>0</v>
      </c>
      <c r="F66" s="15">
        <f>IFERROR(VLOOKUP(A66,서부본부!$A:$B,2,0),0)</f>
        <v>0</v>
      </c>
    </row>
    <row r="67" spans="1:6" hidden="1" outlineLevel="1" x14ac:dyDescent="0.45">
      <c r="A67" s="3" t="s">
        <v>65</v>
      </c>
      <c r="B67" s="15">
        <f>IFERROR(VLOOKUP(sum!A67,강북본부!$A:$B,2,0),0)</f>
        <v>0</v>
      </c>
      <c r="C67" s="15">
        <f>IFERROR(VLOOKUP(A67,강남본부!$A:$B,2,0),0)</f>
        <v>100000</v>
      </c>
      <c r="D67" s="15">
        <f>IFERROR(VLOOKUP(A67,강서본부!$A:$B,2,0),0)</f>
        <v>1000000</v>
      </c>
      <c r="E67" s="15">
        <f>IFERROR(VLOOKUP(A67,동부본부!$A:$B,2,0),0)</f>
        <v>0</v>
      </c>
      <c r="F67" s="15">
        <f>IFERROR(VLOOKUP(A67,서부본부!$A:$B,2,0),0)</f>
        <v>0</v>
      </c>
    </row>
    <row r="68" spans="1:6" hidden="1" outlineLevel="1" x14ac:dyDescent="0.45">
      <c r="A68" s="3" t="s">
        <v>66</v>
      </c>
      <c r="B68" s="15">
        <f>IFERROR(VLOOKUP(sum!A68,강북본부!$A:$B,2,0),0)</f>
        <v>314460200</v>
      </c>
      <c r="C68" s="15">
        <f>IFERROR(VLOOKUP(A68,강남본부!$A:$B,2,0),0)</f>
        <v>261709080</v>
      </c>
      <c r="D68" s="15">
        <f>IFERROR(VLOOKUP(A68,강서본부!$A:$B,2,0),0)</f>
        <v>313587640</v>
      </c>
      <c r="E68" s="15">
        <f>IFERROR(VLOOKUP(A68,동부본부!$A:$B,2,0),0)</f>
        <v>392227110</v>
      </c>
      <c r="F68" s="15">
        <f>IFERROR(VLOOKUP(A68,서부본부!$A:$B,2,0),0)</f>
        <v>320607830</v>
      </c>
    </row>
    <row r="69" spans="1:6" hidden="1" outlineLevel="1" x14ac:dyDescent="0.45">
      <c r="A69" s="3" t="s">
        <v>67</v>
      </c>
      <c r="B69" s="15">
        <f>IFERROR(VLOOKUP(sum!A69,강북본부!$A:$B,2,0),0)</f>
        <v>900000</v>
      </c>
      <c r="C69" s="15">
        <f>IFERROR(VLOOKUP(A69,강남본부!$A:$B,2,0),0)</f>
        <v>300000</v>
      </c>
      <c r="D69" s="15">
        <f>IFERROR(VLOOKUP(A69,강서본부!$A:$B,2,0),0)</f>
        <v>0</v>
      </c>
      <c r="E69" s="15">
        <f>IFERROR(VLOOKUP(A69,동부본부!$A:$B,2,0),0)</f>
        <v>900000</v>
      </c>
      <c r="F69" s="15">
        <f>IFERROR(VLOOKUP(A69,서부본부!$A:$B,2,0),0)</f>
        <v>1500000</v>
      </c>
    </row>
    <row r="70" spans="1:6" collapsed="1" x14ac:dyDescent="0.45">
      <c r="A70" s="2" t="s">
        <v>68</v>
      </c>
      <c r="B70" s="14">
        <f>IFERROR(VLOOKUP(sum!A70,강북본부!$A:$B,2,0),0)</f>
        <v>0</v>
      </c>
      <c r="C70" s="14">
        <f>IFERROR(VLOOKUP(A70,강남본부!$A:$B,2,0),0)</f>
        <v>0</v>
      </c>
      <c r="D70" s="14">
        <f>IFERROR(VLOOKUP(A70,강서본부!$A:$B,2,0),0)</f>
        <v>0</v>
      </c>
      <c r="E70" s="14">
        <f>IFERROR(VLOOKUP(A70,동부본부!$A:$B,2,0),0)</f>
        <v>0</v>
      </c>
      <c r="F70" s="14">
        <f>IFERROR(VLOOKUP(A70,서부본부!$A:$B,2,0),0)</f>
        <v>0</v>
      </c>
    </row>
    <row r="71" spans="1:6" x14ac:dyDescent="0.45">
      <c r="A71" s="2" t="s">
        <v>69</v>
      </c>
      <c r="B71" s="14">
        <f>IFERROR(VLOOKUP(sum!A71,강북본부!$A:$B,2,0),0)</f>
        <v>107216127</v>
      </c>
      <c r="C71" s="14">
        <f>IFERROR(VLOOKUP(A71,강남본부!$A:$B,2,0),0)</f>
        <v>93702706</v>
      </c>
      <c r="D71" s="14">
        <f>IFERROR(VLOOKUP(A71,강서본부!$A:$B,2,0),0)</f>
        <v>109155876</v>
      </c>
      <c r="E71" s="14">
        <f>IFERROR(VLOOKUP(A71,동부본부!$A:$B,2,0),0)</f>
        <v>137804873</v>
      </c>
      <c r="F71" s="14">
        <f>IFERROR(VLOOKUP(A71,서부본부!$A:$B,2,0),0)</f>
        <v>111137342</v>
      </c>
    </row>
    <row r="72" spans="1:6" hidden="1" outlineLevel="1" x14ac:dyDescent="0.45">
      <c r="A72" s="3" t="s">
        <v>70</v>
      </c>
      <c r="B72" s="15">
        <f>IFERROR(VLOOKUP(sum!A72,강북본부!$A:$B,2,0),0)</f>
        <v>107216127</v>
      </c>
      <c r="C72" s="15">
        <f>IFERROR(VLOOKUP(A72,강남본부!$A:$B,2,0),0)</f>
        <v>93702706</v>
      </c>
      <c r="D72" s="15">
        <f>IFERROR(VLOOKUP(A72,강서본부!$A:$B,2,0),0)</f>
        <v>109155876</v>
      </c>
      <c r="E72" s="15">
        <f>IFERROR(VLOOKUP(A72,동부본부!$A:$B,2,0),0)</f>
        <v>137804873</v>
      </c>
      <c r="F72" s="15">
        <f>IFERROR(VLOOKUP(A72,서부본부!$A:$B,2,0),0)</f>
        <v>111137342</v>
      </c>
    </row>
    <row r="73" spans="1:6" collapsed="1" x14ac:dyDescent="0.45">
      <c r="A73" s="2" t="s">
        <v>71</v>
      </c>
      <c r="B73" s="14">
        <f>IFERROR(VLOOKUP(sum!A73,강북본부!$A:$B,2,0),0)</f>
        <v>2000000</v>
      </c>
      <c r="C73" s="14">
        <f>IFERROR(VLOOKUP(A73,강남본부!$A:$B,2,0),0)</f>
        <v>0</v>
      </c>
      <c r="D73" s="14">
        <f>IFERROR(VLOOKUP(A73,강서본부!$A:$B,2,0),0)</f>
        <v>3500000</v>
      </c>
      <c r="E73" s="14">
        <f>IFERROR(VLOOKUP(A73,동부본부!$A:$B,2,0),0)</f>
        <v>1000000</v>
      </c>
      <c r="F73" s="14">
        <f>IFERROR(VLOOKUP(A73,서부본부!$A:$B,2,0),0)</f>
        <v>3000000</v>
      </c>
    </row>
    <row r="74" spans="1:6" ht="17.5" customHeight="1" x14ac:dyDescent="0.45">
      <c r="A74" s="2" t="s">
        <v>72</v>
      </c>
      <c r="B74" s="14">
        <f>IFERROR(VLOOKUP(sum!A74,강북본부!$A:$B,2,0),0)</f>
        <v>277203050</v>
      </c>
      <c r="C74" s="14">
        <f>IFERROR(VLOOKUP(A74,강남본부!$A:$B,2,0),0)</f>
        <v>256062215</v>
      </c>
      <c r="D74" s="14">
        <f>IFERROR(VLOOKUP(A74,강서본부!$A:$B,2,0),0)</f>
        <v>324057584</v>
      </c>
      <c r="E74" s="14">
        <f>IFERROR(VLOOKUP(A74,동부본부!$A:$B,2,0),0)</f>
        <v>368511052</v>
      </c>
      <c r="F74" s="14">
        <f>IFERROR(VLOOKUP(A74,서부본부!$A:$B,2,0),0)</f>
        <v>257662634</v>
      </c>
    </row>
    <row r="75" spans="1:6" hidden="1" outlineLevel="1" x14ac:dyDescent="0.45">
      <c r="A75" s="3" t="s">
        <v>73</v>
      </c>
      <c r="B75" s="15">
        <f>IFERROR(VLOOKUP(sum!A75,강북본부!$A:$B,2,0),0)</f>
        <v>0</v>
      </c>
      <c r="C75" s="15">
        <f>IFERROR(VLOOKUP(A75,강남본부!$A:$B,2,0),0)</f>
        <v>0</v>
      </c>
      <c r="D75" s="15">
        <f>IFERROR(VLOOKUP(A75,강서본부!$A:$B,2,0),0)</f>
        <v>0</v>
      </c>
      <c r="E75" s="15">
        <f>IFERROR(VLOOKUP(A75,동부본부!$A:$B,2,0),0)</f>
        <v>0</v>
      </c>
      <c r="F75" s="15">
        <f>IFERROR(VLOOKUP(A75,서부본부!$A:$B,2,0),0)</f>
        <v>0</v>
      </c>
    </row>
    <row r="76" spans="1:6" hidden="1" outlineLevel="1" x14ac:dyDescent="0.45">
      <c r="A76" s="3" t="s">
        <v>74</v>
      </c>
      <c r="B76" s="15">
        <f>IFERROR(VLOOKUP(sum!A76,강북본부!$A:$B,2,0),0)</f>
        <v>10058501</v>
      </c>
      <c r="C76" s="15">
        <f>IFERROR(VLOOKUP(A76,강남본부!$A:$B,2,0),0)</f>
        <v>8737276</v>
      </c>
      <c r="D76" s="15">
        <f>IFERROR(VLOOKUP(A76,강서본부!$A:$B,2,0),0)</f>
        <v>9981412</v>
      </c>
      <c r="E76" s="15">
        <f>IFERROR(VLOOKUP(A76,동부본부!$A:$B,2,0),0)</f>
        <v>12834533</v>
      </c>
      <c r="F76" s="15">
        <f>IFERROR(VLOOKUP(A76,서부본부!$A:$B,2,0),0)</f>
        <v>10642782</v>
      </c>
    </row>
    <row r="77" spans="1:6" hidden="1" outlineLevel="1" x14ac:dyDescent="0.45">
      <c r="A77" s="3" t="s">
        <v>75</v>
      </c>
      <c r="B77" s="15">
        <f>IFERROR(VLOOKUP(sum!A77,강북본부!$A:$B,2,0),0)</f>
        <v>49984110</v>
      </c>
      <c r="C77" s="15">
        <f>IFERROR(VLOOKUP(A77,강남본부!$A:$B,2,0),0)</f>
        <v>43684160</v>
      </c>
      <c r="D77" s="15">
        <f>IFERROR(VLOOKUP(A77,강서본부!$A:$B,2,0),0)</f>
        <v>50888420</v>
      </c>
      <c r="E77" s="15">
        <f>IFERROR(VLOOKUP(A77,동부본부!$A:$B,2,0),0)</f>
        <v>64244570</v>
      </c>
      <c r="F77" s="15">
        <f>IFERROR(VLOOKUP(A77,서부본부!$A:$B,2,0),0)</f>
        <v>51812180</v>
      </c>
    </row>
    <row r="78" spans="1:6" hidden="1" outlineLevel="1" x14ac:dyDescent="0.45">
      <c r="A78" s="3" t="s">
        <v>76</v>
      </c>
      <c r="B78" s="15">
        <f>IFERROR(VLOOKUP(sum!A78,강북본부!$A:$B,2,0),0)</f>
        <v>54361650</v>
      </c>
      <c r="C78" s="15">
        <f>IFERROR(VLOOKUP(A78,강남본부!$A:$B,2,0),0)</f>
        <v>47488070</v>
      </c>
      <c r="D78" s="15">
        <f>IFERROR(VLOOKUP(A78,강서본부!$A:$B,2,0),0)</f>
        <v>54515060</v>
      </c>
      <c r="E78" s="15">
        <f>IFERROR(VLOOKUP(A78,동부본부!$A:$B,2,0),0)</f>
        <v>67756750</v>
      </c>
      <c r="F78" s="15">
        <f>IFERROR(VLOOKUP(A78,서부본부!$A:$B,2,0),0)</f>
        <v>57310010</v>
      </c>
    </row>
    <row r="79" spans="1:6" hidden="1" outlineLevel="1" x14ac:dyDescent="0.45">
      <c r="A79" s="3" t="s">
        <v>77</v>
      </c>
      <c r="B79" s="15">
        <f>IFERROR(VLOOKUP(sum!A79,강북본부!$A:$B,2,0),0)</f>
        <v>18746643</v>
      </c>
      <c r="C79" s="15">
        <f>IFERROR(VLOOKUP(A79,강남본부!$A:$B,2,0),0)</f>
        <v>16284193</v>
      </c>
      <c r="D79" s="15">
        <f>IFERROR(VLOOKUP(A79,강서본부!$A:$B,2,0),0)</f>
        <v>18602963</v>
      </c>
      <c r="E79" s="15">
        <f>IFERROR(VLOOKUP(A79,동부본부!$A:$B,2,0),0)</f>
        <v>23920496</v>
      </c>
      <c r="F79" s="15">
        <f>IFERROR(VLOOKUP(A79,서부본부!$A:$B,2,0),0)</f>
        <v>19835602</v>
      </c>
    </row>
    <row r="80" spans="1:6" hidden="1" outlineLevel="1" x14ac:dyDescent="0.45">
      <c r="A80" s="3" t="s">
        <v>78</v>
      </c>
      <c r="B80" s="15">
        <f>IFERROR(VLOOKUP(sum!A80,강북본부!$A:$B,2,0),0)</f>
        <v>0</v>
      </c>
      <c r="C80" s="15">
        <f>IFERROR(VLOOKUP(A80,강남본부!$A:$B,2,0),0)</f>
        <v>0</v>
      </c>
      <c r="D80" s="15">
        <f>IFERROR(VLOOKUP(A80,강서본부!$A:$B,2,0),0)</f>
        <v>0</v>
      </c>
      <c r="E80" s="15">
        <f>IFERROR(VLOOKUP(A80,동부본부!$A:$B,2,0),0)</f>
        <v>0</v>
      </c>
      <c r="F80" s="15">
        <f>IFERROR(VLOOKUP(A80,서부본부!$A:$B,2,0),0)</f>
        <v>0</v>
      </c>
    </row>
    <row r="81" spans="1:6" hidden="1" outlineLevel="1" x14ac:dyDescent="0.45">
      <c r="A81" s="4" t="s">
        <v>79</v>
      </c>
      <c r="B81" s="16">
        <f>IFERROR(VLOOKUP(sum!A81,강북본부!$A:$B,2,0),0)</f>
        <v>71635896</v>
      </c>
      <c r="C81" s="16">
        <f>IFERROR(VLOOKUP(A81,강남본부!$A:$B,2,0),0)</f>
        <v>90413280</v>
      </c>
      <c r="D81" s="16">
        <f>IFERROR(VLOOKUP(A81,강서본부!$A:$B,2,0),0)</f>
        <v>113795563</v>
      </c>
      <c r="E81" s="16">
        <f>IFERROR(VLOOKUP(A81,동부본부!$A:$B,2,0),0)</f>
        <v>136168419</v>
      </c>
      <c r="F81" s="16">
        <f>IFERROR(VLOOKUP(A81,서부본부!$A:$B,2,0),0)</f>
        <v>73641436</v>
      </c>
    </row>
    <row r="82" spans="1:6" hidden="1" outlineLevel="1" x14ac:dyDescent="0.45">
      <c r="A82" s="3" t="s">
        <v>80</v>
      </c>
      <c r="B82" s="15">
        <f>IFERROR(VLOOKUP(sum!A82,강북본부!$A:$B,2,0),0)</f>
        <v>7740000</v>
      </c>
      <c r="C82" s="15">
        <f>IFERROR(VLOOKUP(A82,강남본부!$A:$B,2,0),0)</f>
        <v>4905000</v>
      </c>
      <c r="D82" s="15">
        <f>IFERROR(VLOOKUP(A82,강서본부!$A:$B,2,0),0)</f>
        <v>6545000</v>
      </c>
      <c r="E82" s="15">
        <f>IFERROR(VLOOKUP(A82,동부본부!$A:$B,2,0),0)</f>
        <v>5460000</v>
      </c>
      <c r="F82" s="15">
        <f>IFERROR(VLOOKUP(A82,서부본부!$A:$B,2,0),0)</f>
        <v>4840000</v>
      </c>
    </row>
    <row r="83" spans="1:6" hidden="1" outlineLevel="1" x14ac:dyDescent="0.45">
      <c r="A83" s="3" t="s">
        <v>81</v>
      </c>
      <c r="B83" s="15">
        <f>IFERROR(VLOOKUP(sum!A83,강북본부!$A:$B,2,0),0)</f>
        <v>2101440</v>
      </c>
      <c r="C83" s="15">
        <f>IFERROR(VLOOKUP(A83,강남본부!$A:$B,2,0),0)</f>
        <v>1571500</v>
      </c>
      <c r="D83" s="15">
        <f>IFERROR(VLOOKUP(A83,강서본부!$A:$B,2,0),0)</f>
        <v>1577000</v>
      </c>
      <c r="E83" s="15">
        <f>IFERROR(VLOOKUP(A83,동부본부!$A:$B,2,0),0)</f>
        <v>0</v>
      </c>
      <c r="F83" s="15">
        <f>IFERROR(VLOOKUP(A83,서부본부!$A:$B,2,0),0)</f>
        <v>1500000</v>
      </c>
    </row>
    <row r="84" spans="1:6" hidden="1" outlineLevel="1" x14ac:dyDescent="0.45">
      <c r="A84" s="3" t="s">
        <v>82</v>
      </c>
      <c r="B84" s="15">
        <f>IFERROR(VLOOKUP(sum!A84,강북본부!$A:$B,2,0),0)</f>
        <v>1789069</v>
      </c>
      <c r="C84" s="15">
        <f>IFERROR(VLOOKUP(A84,강남본부!$A:$B,2,0),0)</f>
        <v>1127636</v>
      </c>
      <c r="D84" s="15">
        <f>IFERROR(VLOOKUP(A84,강서본부!$A:$B,2,0),0)</f>
        <v>1576105</v>
      </c>
      <c r="E84" s="15">
        <f>IFERROR(VLOOKUP(A84,동부본부!$A:$B,2,0),0)</f>
        <v>2240970</v>
      </c>
      <c r="F84" s="15">
        <f>IFERROR(VLOOKUP(A84,서부본부!$A:$B,2,0),0)</f>
        <v>1458491</v>
      </c>
    </row>
    <row r="85" spans="1:6" hidden="1" outlineLevel="1" x14ac:dyDescent="0.45">
      <c r="A85" s="3" t="s">
        <v>83</v>
      </c>
      <c r="B85" s="15">
        <f>IFERROR(VLOOKUP(sum!A85,강북본부!$A:$B,2,0),0)</f>
        <v>0</v>
      </c>
      <c r="C85" s="15">
        <f>IFERROR(VLOOKUP(A85,강남본부!$A:$B,2,0),0)</f>
        <v>3500000</v>
      </c>
      <c r="D85" s="15">
        <f>IFERROR(VLOOKUP(A85,강서본부!$A:$B,2,0),0)</f>
        <v>0</v>
      </c>
      <c r="E85" s="15">
        <f>IFERROR(VLOOKUP(A85,동부본부!$A:$B,2,0),0)</f>
        <v>3450000</v>
      </c>
      <c r="F85" s="15">
        <f>IFERROR(VLOOKUP(A85,서부본부!$A:$B,2,0),0)</f>
        <v>0</v>
      </c>
    </row>
    <row r="86" spans="1:6" hidden="1" outlineLevel="1" x14ac:dyDescent="0.45">
      <c r="A86" s="3" t="s">
        <v>84</v>
      </c>
      <c r="B86" s="15">
        <f>IFERROR(VLOOKUP(sum!A86,강북본부!$A:$B,2,0),0)</f>
        <v>0</v>
      </c>
      <c r="C86" s="15">
        <f>IFERROR(VLOOKUP(A86,강남본부!$A:$B,2,0),0)</f>
        <v>0</v>
      </c>
      <c r="D86" s="15">
        <f>IFERROR(VLOOKUP(A86,강서본부!$A:$B,2,0),0)</f>
        <v>0</v>
      </c>
      <c r="E86" s="15">
        <f>IFERROR(VLOOKUP(A86,동부본부!$A:$B,2,0),0)</f>
        <v>0</v>
      </c>
      <c r="F86" s="15">
        <f>IFERROR(VLOOKUP(A86,서부본부!$A:$B,2,0),0)</f>
        <v>0</v>
      </c>
    </row>
    <row r="87" spans="1:6" hidden="1" outlineLevel="1" x14ac:dyDescent="0.45">
      <c r="A87" s="3" t="s">
        <v>85</v>
      </c>
      <c r="B87" s="15">
        <f>IFERROR(VLOOKUP(sum!A87,강북본부!$A:$B,2,0),0)</f>
        <v>0</v>
      </c>
      <c r="C87" s="15">
        <f>IFERROR(VLOOKUP(A87,강남본부!$A:$B,2,0),0)</f>
        <v>0</v>
      </c>
      <c r="D87" s="15">
        <f>IFERROR(VLOOKUP(A87,강서본부!$A:$B,2,0),0)</f>
        <v>0</v>
      </c>
      <c r="E87" s="15">
        <f>IFERROR(VLOOKUP(A87,동부본부!$A:$B,2,0),0)</f>
        <v>0</v>
      </c>
      <c r="F87" s="15">
        <f>IFERROR(VLOOKUP(A87,서부본부!$A:$B,2,0),0)</f>
        <v>0</v>
      </c>
    </row>
    <row r="88" spans="1:6" hidden="1" outlineLevel="1" x14ac:dyDescent="0.45">
      <c r="A88" s="3" t="s">
        <v>86</v>
      </c>
      <c r="B88" s="15">
        <f>IFERROR(VLOOKUP(sum!A88,강북본부!$A:$B,2,0),0)</f>
        <v>0</v>
      </c>
      <c r="C88" s="15">
        <f>IFERROR(VLOOKUP(A88,강남본부!$A:$B,2,0),0)</f>
        <v>0</v>
      </c>
      <c r="D88" s="15">
        <f>IFERROR(VLOOKUP(A88,강서본부!$A:$B,2,0),0)</f>
        <v>0</v>
      </c>
      <c r="E88" s="15">
        <f>IFERROR(VLOOKUP(A88,동부본부!$A:$B,2,0),0)</f>
        <v>0</v>
      </c>
      <c r="F88" s="15">
        <f>IFERROR(VLOOKUP(A88,서부본부!$A:$B,2,0),0)</f>
        <v>0</v>
      </c>
    </row>
    <row r="89" spans="1:6" hidden="1" outlineLevel="1" x14ac:dyDescent="0.45">
      <c r="A89" s="3" t="s">
        <v>87</v>
      </c>
      <c r="B89" s="15">
        <f>IFERROR(VLOOKUP(sum!A89,강북본부!$A:$B,2,0),0)</f>
        <v>0</v>
      </c>
      <c r="C89" s="15">
        <f>IFERROR(VLOOKUP(A89,강남본부!$A:$B,2,0),0)</f>
        <v>0</v>
      </c>
      <c r="D89" s="15">
        <f>IFERROR(VLOOKUP(A89,강서본부!$A:$B,2,0),0)</f>
        <v>0</v>
      </c>
      <c r="E89" s="15">
        <f>IFERROR(VLOOKUP(A89,동부본부!$A:$B,2,0),0)</f>
        <v>0</v>
      </c>
      <c r="F89" s="15">
        <f>IFERROR(VLOOKUP(A89,서부본부!$A:$B,2,0),0)</f>
        <v>0</v>
      </c>
    </row>
    <row r="90" spans="1:6" hidden="1" outlineLevel="1" x14ac:dyDescent="0.45">
      <c r="A90" s="3" t="s">
        <v>88</v>
      </c>
      <c r="B90" s="15">
        <f>IFERROR(VLOOKUP(sum!A90,강북본부!$A:$B,2,0),0)</f>
        <v>0</v>
      </c>
      <c r="C90" s="15">
        <f>IFERROR(VLOOKUP(A90,강남본부!$A:$B,2,0),0)</f>
        <v>0</v>
      </c>
      <c r="D90" s="15">
        <f>IFERROR(VLOOKUP(A90,강서본부!$A:$B,2,0),0)</f>
        <v>0</v>
      </c>
      <c r="E90" s="15">
        <f>IFERROR(VLOOKUP(A90,동부본부!$A:$B,2,0),0)</f>
        <v>0</v>
      </c>
      <c r="F90" s="15">
        <f>IFERROR(VLOOKUP(A90,서부본부!$A:$B,2,0),0)</f>
        <v>0</v>
      </c>
    </row>
    <row r="91" spans="1:6" hidden="1" outlineLevel="1" x14ac:dyDescent="0.45">
      <c r="A91" s="3" t="s">
        <v>89</v>
      </c>
      <c r="B91" s="15">
        <f>IFERROR(VLOOKUP(sum!A91,강북본부!$A:$B,2,0),0)</f>
        <v>0</v>
      </c>
      <c r="C91" s="15">
        <f>IFERROR(VLOOKUP(A91,강남본부!$A:$B,2,0),0)</f>
        <v>0</v>
      </c>
      <c r="D91" s="15">
        <f>IFERROR(VLOOKUP(A91,강서본부!$A:$B,2,0),0)</f>
        <v>0</v>
      </c>
      <c r="E91" s="15">
        <f>IFERROR(VLOOKUP(A91,동부본부!$A:$B,2,0),0)</f>
        <v>0</v>
      </c>
      <c r="F91" s="15">
        <f>IFERROR(VLOOKUP(A91,서부본부!$A:$B,2,0),0)</f>
        <v>0</v>
      </c>
    </row>
    <row r="92" spans="1:6" hidden="1" outlineLevel="1" x14ac:dyDescent="0.45">
      <c r="A92" s="6" t="s">
        <v>90</v>
      </c>
      <c r="B92" s="18">
        <f>IFERROR(VLOOKUP(sum!A92,강북본부!$A:$B,2,0),0)</f>
        <v>0</v>
      </c>
      <c r="C92" s="18">
        <f>IFERROR(VLOOKUP(A92,강남본부!$A:$B,2,0),0)</f>
        <v>0</v>
      </c>
      <c r="D92" s="18">
        <f>IFERROR(VLOOKUP(A92,강서본부!$A:$B,2,0),0)</f>
        <v>0</v>
      </c>
      <c r="E92" s="18">
        <f>IFERROR(VLOOKUP(A92,동부본부!$A:$B,2,0),0)</f>
        <v>0</v>
      </c>
      <c r="F92" s="18">
        <f>IFERROR(VLOOKUP(A92,서부본부!$A:$B,2,0),0)</f>
        <v>0</v>
      </c>
    </row>
    <row r="93" spans="1:6" hidden="1" outlineLevel="1" x14ac:dyDescent="0.45">
      <c r="A93" s="3" t="s">
        <v>91</v>
      </c>
      <c r="B93" s="15">
        <f>IFERROR(VLOOKUP(sum!A93,강북본부!$A:$B,2,0),0)</f>
        <v>0</v>
      </c>
      <c r="C93" s="15">
        <f>IFERROR(VLOOKUP(A93,강남본부!$A:$B,2,0),0)</f>
        <v>0</v>
      </c>
      <c r="D93" s="15">
        <f>IFERROR(VLOOKUP(A93,강서본부!$A:$B,2,0),0)</f>
        <v>0</v>
      </c>
      <c r="E93" s="15">
        <f>IFERROR(VLOOKUP(A93,동부본부!$A:$B,2,0),0)</f>
        <v>0</v>
      </c>
      <c r="F93" s="15">
        <f>IFERROR(VLOOKUP(A93,서부본부!$A:$B,2,0),0)</f>
        <v>0</v>
      </c>
    </row>
    <row r="94" spans="1:6" hidden="1" outlineLevel="1" x14ac:dyDescent="0.45">
      <c r="A94" s="6" t="s">
        <v>92</v>
      </c>
      <c r="B94" s="18">
        <f>IFERROR(VLOOKUP(sum!A94,강북본부!$A:$B,2,0),0)</f>
        <v>0</v>
      </c>
      <c r="C94" s="18">
        <f>IFERROR(VLOOKUP(A94,강남본부!$A:$B,2,0),0)</f>
        <v>0</v>
      </c>
      <c r="D94" s="18">
        <f>IFERROR(VLOOKUP(A94,강서본부!$A:$B,2,0),0)</f>
        <v>0</v>
      </c>
      <c r="E94" s="18">
        <f>IFERROR(VLOOKUP(A94,동부본부!$A:$B,2,0),0)</f>
        <v>0</v>
      </c>
      <c r="F94" s="18">
        <f>IFERROR(VLOOKUP(A94,서부본부!$A:$B,2,0),0)</f>
        <v>0</v>
      </c>
    </row>
    <row r="95" spans="1:6" hidden="1" outlineLevel="1" x14ac:dyDescent="0.45">
      <c r="A95" s="3" t="s">
        <v>93</v>
      </c>
      <c r="B95" s="15">
        <f>IFERROR(VLOOKUP(sum!A95,강북본부!$A:$B,2,0),0)</f>
        <v>0</v>
      </c>
      <c r="C95" s="15">
        <f>IFERROR(VLOOKUP(A95,강남본부!$A:$B,2,0),0)</f>
        <v>0</v>
      </c>
      <c r="D95" s="15">
        <f>IFERROR(VLOOKUP(A95,강서본부!$A:$B,2,0),0)</f>
        <v>0</v>
      </c>
      <c r="E95" s="15">
        <f>IFERROR(VLOOKUP(A95,동부본부!$A:$B,2,0),0)</f>
        <v>0</v>
      </c>
      <c r="F95" s="15">
        <f>IFERROR(VLOOKUP(A95,서부본부!$A:$B,2,0),0)</f>
        <v>0</v>
      </c>
    </row>
    <row r="96" spans="1:6" hidden="1" outlineLevel="1" x14ac:dyDescent="0.45">
      <c r="A96" s="6" t="s">
        <v>94</v>
      </c>
      <c r="B96" s="18">
        <f>IFERROR(VLOOKUP(sum!A96,강북본부!$A:$B,2,0),0)</f>
        <v>0</v>
      </c>
      <c r="C96" s="18">
        <f>IFERROR(VLOOKUP(A96,강남본부!$A:$B,2,0),0)</f>
        <v>0</v>
      </c>
      <c r="D96" s="18">
        <f>IFERROR(VLOOKUP(A96,강서본부!$A:$B,2,0),0)</f>
        <v>0</v>
      </c>
      <c r="E96" s="18">
        <f>IFERROR(VLOOKUP(A96,동부본부!$A:$B,2,0),0)</f>
        <v>0</v>
      </c>
      <c r="F96" s="18">
        <f>IFERROR(VLOOKUP(A96,서부본부!$A:$B,2,0),0)</f>
        <v>0</v>
      </c>
    </row>
    <row r="97" spans="1:6" hidden="1" outlineLevel="1" x14ac:dyDescent="0.45">
      <c r="A97" s="3" t="s">
        <v>95</v>
      </c>
      <c r="B97" s="15">
        <f>IFERROR(VLOOKUP(sum!A97,강북본부!$A:$B,2,0),0)</f>
        <v>0</v>
      </c>
      <c r="C97" s="15">
        <f>IFERROR(VLOOKUP(A97,강남본부!$A:$B,2,0),0)</f>
        <v>0</v>
      </c>
      <c r="D97" s="15">
        <f>IFERROR(VLOOKUP(A97,강서본부!$A:$B,2,0),0)</f>
        <v>0</v>
      </c>
      <c r="E97" s="15">
        <f>IFERROR(VLOOKUP(A97,동부본부!$A:$B,2,0),0)</f>
        <v>0</v>
      </c>
      <c r="F97" s="15">
        <f>IFERROR(VLOOKUP(A97,서부본부!$A:$B,2,0),0)</f>
        <v>0</v>
      </c>
    </row>
    <row r="98" spans="1:6" hidden="1" outlineLevel="1" x14ac:dyDescent="0.45">
      <c r="A98" s="3" t="s">
        <v>96</v>
      </c>
      <c r="B98" s="15">
        <f>IFERROR(VLOOKUP(sum!A98,강북본부!$A:$B,2,0),0)</f>
        <v>0</v>
      </c>
      <c r="C98" s="15">
        <f>IFERROR(VLOOKUP(A98,강남본부!$A:$B,2,0),0)</f>
        <v>0</v>
      </c>
      <c r="D98" s="15">
        <f>IFERROR(VLOOKUP(A98,강서본부!$A:$B,2,0),0)</f>
        <v>0</v>
      </c>
      <c r="E98" s="15">
        <f>IFERROR(VLOOKUP(A98,동부본부!$A:$B,2,0),0)</f>
        <v>0</v>
      </c>
      <c r="F98" s="15">
        <f>IFERROR(VLOOKUP(A98,서부본부!$A:$B,2,0),0)</f>
        <v>0</v>
      </c>
    </row>
    <row r="99" spans="1:6" hidden="1" outlineLevel="1" x14ac:dyDescent="0.45">
      <c r="A99" s="6" t="s">
        <v>97</v>
      </c>
      <c r="B99" s="18">
        <f>IFERROR(VLOOKUP(sum!A99,강북본부!$A:$B,2,0),0)</f>
        <v>0</v>
      </c>
      <c r="C99" s="18">
        <f>IFERROR(VLOOKUP(A99,강남본부!$A:$B,2,0),0)</f>
        <v>0</v>
      </c>
      <c r="D99" s="18">
        <f>IFERROR(VLOOKUP(A99,강서본부!$A:$B,2,0),0)</f>
        <v>0</v>
      </c>
      <c r="E99" s="18">
        <f>IFERROR(VLOOKUP(A99,동부본부!$A:$B,2,0),0)</f>
        <v>0</v>
      </c>
      <c r="F99" s="18">
        <f>IFERROR(VLOOKUP(A99,서부본부!$A:$B,2,0),0)</f>
        <v>0</v>
      </c>
    </row>
    <row r="100" spans="1:6" hidden="1" outlineLevel="1" x14ac:dyDescent="0.45">
      <c r="A100" s="4" t="s">
        <v>98</v>
      </c>
      <c r="B100" s="16">
        <f>IFERROR(VLOOKUP(sum!A100,강북본부!$A:$B,2,0),0)</f>
        <v>0</v>
      </c>
      <c r="C100" s="16">
        <f>IFERROR(VLOOKUP(A100,강남본부!$A:$B,2,0),0)</f>
        <v>0</v>
      </c>
      <c r="D100" s="16">
        <f>IFERROR(VLOOKUP(A100,강서본부!$A:$B,2,0),0)</f>
        <v>0</v>
      </c>
      <c r="E100" s="16">
        <f>IFERROR(VLOOKUP(A100,동부본부!$A:$B,2,0),0)</f>
        <v>0</v>
      </c>
      <c r="F100" s="16">
        <f>IFERROR(VLOOKUP(A100,서부본부!$A:$B,2,0),0)</f>
        <v>0</v>
      </c>
    </row>
    <row r="101" spans="1:6" hidden="1" outlineLevel="1" x14ac:dyDescent="0.45">
      <c r="A101" s="3" t="s">
        <v>99</v>
      </c>
      <c r="B101" s="15">
        <f>IFERROR(VLOOKUP(sum!A101,강북본부!$A:$B,2,0),0)</f>
        <v>0</v>
      </c>
      <c r="C101" s="15">
        <f>IFERROR(VLOOKUP(A101,강남본부!$A:$B,2,0),0)</f>
        <v>0</v>
      </c>
      <c r="D101" s="15">
        <f>IFERROR(VLOOKUP(A101,강서본부!$A:$B,2,0),0)</f>
        <v>0</v>
      </c>
      <c r="E101" s="15">
        <f>IFERROR(VLOOKUP(A101,동부본부!$A:$B,2,0),0)</f>
        <v>0</v>
      </c>
      <c r="F101" s="15">
        <f>IFERROR(VLOOKUP(A101,서부본부!$A:$B,2,0),0)</f>
        <v>0</v>
      </c>
    </row>
    <row r="102" spans="1:6" hidden="1" outlineLevel="1" x14ac:dyDescent="0.45">
      <c r="A102" s="3" t="s">
        <v>100</v>
      </c>
      <c r="B102" s="15">
        <f>IFERROR(VLOOKUP(sum!A102,강북본부!$A:$B,2,0),0)</f>
        <v>0</v>
      </c>
      <c r="C102" s="15">
        <f>IFERROR(VLOOKUP(A102,강남본부!$A:$B,2,0),0)</f>
        <v>0</v>
      </c>
      <c r="D102" s="15">
        <f>IFERROR(VLOOKUP(A102,강서본부!$A:$B,2,0),0)</f>
        <v>0</v>
      </c>
      <c r="E102" s="15">
        <f>IFERROR(VLOOKUP(A102,동부본부!$A:$B,2,0),0)</f>
        <v>0</v>
      </c>
      <c r="F102" s="15">
        <f>IFERROR(VLOOKUP(A102,서부본부!$A:$B,2,0),0)</f>
        <v>0</v>
      </c>
    </row>
    <row r="103" spans="1:6" hidden="1" outlineLevel="1" x14ac:dyDescent="0.45">
      <c r="A103" s="3" t="s">
        <v>101</v>
      </c>
      <c r="B103" s="15">
        <f>IFERROR(VLOOKUP(sum!A103,강북본부!$A:$B,2,0),0)</f>
        <v>0</v>
      </c>
      <c r="C103" s="15">
        <f>IFERROR(VLOOKUP(A103,강남본부!$A:$B,2,0),0)</f>
        <v>0</v>
      </c>
      <c r="D103" s="15">
        <f>IFERROR(VLOOKUP(A103,강서본부!$A:$B,2,0),0)</f>
        <v>0</v>
      </c>
      <c r="E103" s="15">
        <f>IFERROR(VLOOKUP(A103,동부본부!$A:$B,2,0),0)</f>
        <v>0</v>
      </c>
      <c r="F103" s="15">
        <f>IFERROR(VLOOKUP(A103,서부본부!$A:$B,2,0),0)</f>
        <v>0</v>
      </c>
    </row>
    <row r="104" spans="1:6" hidden="1" outlineLevel="1" x14ac:dyDescent="0.45">
      <c r="A104" s="3" t="s">
        <v>102</v>
      </c>
      <c r="B104" s="15">
        <f>IFERROR(VLOOKUP(sum!A104,강북본부!$A:$B,2,0),0)</f>
        <v>0</v>
      </c>
      <c r="C104" s="15">
        <f>IFERROR(VLOOKUP(A104,강남본부!$A:$B,2,0),0)</f>
        <v>0</v>
      </c>
      <c r="D104" s="15">
        <f>IFERROR(VLOOKUP(A104,강서본부!$A:$B,2,0),0)</f>
        <v>0</v>
      </c>
      <c r="E104" s="15">
        <f>IFERROR(VLOOKUP(A104,동부본부!$A:$B,2,0),0)</f>
        <v>0</v>
      </c>
      <c r="F104" s="15">
        <f>IFERROR(VLOOKUP(A104,서부본부!$A:$B,2,0),0)</f>
        <v>0</v>
      </c>
    </row>
    <row r="105" spans="1:6" hidden="1" outlineLevel="1" x14ac:dyDescent="0.45">
      <c r="A105" s="3" t="s">
        <v>103</v>
      </c>
      <c r="B105" s="15">
        <f>IFERROR(VLOOKUP(sum!A105,강북본부!$A:$B,2,0),0)</f>
        <v>0</v>
      </c>
      <c r="C105" s="15">
        <f>IFERROR(VLOOKUP(A105,강남본부!$A:$B,2,0),0)</f>
        <v>0</v>
      </c>
      <c r="D105" s="15">
        <f>IFERROR(VLOOKUP(A105,강서본부!$A:$B,2,0),0)</f>
        <v>0</v>
      </c>
      <c r="E105" s="15">
        <f>IFERROR(VLOOKUP(A105,동부본부!$A:$B,2,0),0)</f>
        <v>0</v>
      </c>
      <c r="F105" s="15">
        <f>IFERROR(VLOOKUP(A105,서부본부!$A:$B,2,0),0)</f>
        <v>0</v>
      </c>
    </row>
    <row r="106" spans="1:6" hidden="1" outlineLevel="1" x14ac:dyDescent="0.45">
      <c r="A106" s="3" t="s">
        <v>104</v>
      </c>
      <c r="B106" s="15">
        <f>IFERROR(VLOOKUP(sum!A106,강북본부!$A:$B,2,0),0)</f>
        <v>0</v>
      </c>
      <c r="C106" s="15">
        <f>IFERROR(VLOOKUP(A106,강남본부!$A:$B,2,0),0)</f>
        <v>0</v>
      </c>
      <c r="D106" s="15">
        <f>IFERROR(VLOOKUP(A106,강서본부!$A:$B,2,0),0)</f>
        <v>0</v>
      </c>
      <c r="E106" s="15">
        <f>IFERROR(VLOOKUP(A106,동부본부!$A:$B,2,0),0)</f>
        <v>0</v>
      </c>
      <c r="F106" s="15">
        <f>IFERROR(VLOOKUP(A106,서부본부!$A:$B,2,0),0)</f>
        <v>0</v>
      </c>
    </row>
    <row r="107" spans="1:6" hidden="1" outlineLevel="1" x14ac:dyDescent="0.45">
      <c r="A107" s="3" t="s">
        <v>105</v>
      </c>
      <c r="B107" s="15">
        <f>IFERROR(VLOOKUP(sum!A107,강북본부!$A:$B,2,0),0)</f>
        <v>0</v>
      </c>
      <c r="C107" s="15">
        <f>IFERROR(VLOOKUP(A107,강남본부!$A:$B,2,0),0)</f>
        <v>0</v>
      </c>
      <c r="D107" s="15">
        <f>IFERROR(VLOOKUP(A107,강서본부!$A:$B,2,0),0)</f>
        <v>0</v>
      </c>
      <c r="E107" s="15">
        <f>IFERROR(VLOOKUP(A107,동부본부!$A:$B,2,0),0)</f>
        <v>0</v>
      </c>
      <c r="F107" s="15">
        <f>IFERROR(VLOOKUP(A107,서부본부!$A:$B,2,0),0)</f>
        <v>0</v>
      </c>
    </row>
    <row r="108" spans="1:6" hidden="1" outlineLevel="1" x14ac:dyDescent="0.45">
      <c r="A108" s="3" t="s">
        <v>106</v>
      </c>
      <c r="B108" s="15">
        <f>IFERROR(VLOOKUP(sum!A108,강북본부!$A:$B,2,0),0)</f>
        <v>0</v>
      </c>
      <c r="C108" s="15">
        <f>IFERROR(VLOOKUP(A108,강남본부!$A:$B,2,0),0)</f>
        <v>0</v>
      </c>
      <c r="D108" s="15">
        <f>IFERROR(VLOOKUP(A108,강서본부!$A:$B,2,0),0)</f>
        <v>0</v>
      </c>
      <c r="E108" s="15">
        <f>IFERROR(VLOOKUP(A108,동부본부!$A:$B,2,0),0)</f>
        <v>0</v>
      </c>
      <c r="F108" s="15">
        <f>IFERROR(VLOOKUP(A108,서부본부!$A:$B,2,0),0)</f>
        <v>0</v>
      </c>
    </row>
    <row r="109" spans="1:6" hidden="1" outlineLevel="1" x14ac:dyDescent="0.45">
      <c r="A109" s="5" t="s">
        <v>107</v>
      </c>
      <c r="B109" s="17">
        <f>IFERROR(VLOOKUP(sum!A109,강북본부!$A:$B,2,0),0)</f>
        <v>60785741</v>
      </c>
      <c r="C109" s="17">
        <f>IFERROR(VLOOKUP(A109,강남본부!$A:$B,2,0),0)</f>
        <v>38351100</v>
      </c>
      <c r="D109" s="17">
        <f>IFERROR(VLOOKUP(A109,강서본부!$A:$B,2,0),0)</f>
        <v>66576061</v>
      </c>
      <c r="E109" s="17">
        <f>IFERROR(VLOOKUP(A109,동부본부!$A:$B,2,0),0)</f>
        <v>52435314</v>
      </c>
      <c r="F109" s="17">
        <f>IFERROR(VLOOKUP(A109,서부본부!$A:$B,2,0),0)</f>
        <v>36622133</v>
      </c>
    </row>
    <row r="110" spans="1:6" hidden="1" outlineLevel="1" x14ac:dyDescent="0.45">
      <c r="A110" s="3" t="s">
        <v>108</v>
      </c>
      <c r="B110" s="15">
        <f>IFERROR(VLOOKUP(sum!A110,강북본부!$A:$B,2,0),0)</f>
        <v>0</v>
      </c>
      <c r="C110" s="15">
        <f>IFERROR(VLOOKUP(A110,강남본부!$A:$B,2,0),0)</f>
        <v>0</v>
      </c>
      <c r="D110" s="15">
        <f>IFERROR(VLOOKUP(A110,강서본부!$A:$B,2,0),0)</f>
        <v>0</v>
      </c>
      <c r="E110" s="15">
        <f>IFERROR(VLOOKUP(A110,동부본부!$A:$B,2,0),0)</f>
        <v>0</v>
      </c>
      <c r="F110" s="15">
        <f>IFERROR(VLOOKUP(A110,서부본부!$A:$B,2,0),0)</f>
        <v>0</v>
      </c>
    </row>
    <row r="111" spans="1:6" hidden="1" outlineLevel="1" x14ac:dyDescent="0.45">
      <c r="A111" s="3" t="s">
        <v>109</v>
      </c>
      <c r="B111" s="15">
        <f>IFERROR(VLOOKUP(sum!A111,강북본부!$A:$B,2,0),0)</f>
        <v>0</v>
      </c>
      <c r="C111" s="15">
        <f>IFERROR(VLOOKUP(A111,강남본부!$A:$B,2,0),0)</f>
        <v>0</v>
      </c>
      <c r="D111" s="15">
        <f>IFERROR(VLOOKUP(A111,강서본부!$A:$B,2,0),0)</f>
        <v>0</v>
      </c>
      <c r="E111" s="15">
        <f>IFERROR(VLOOKUP(A111,동부본부!$A:$B,2,0),0)</f>
        <v>0</v>
      </c>
      <c r="F111" s="15">
        <f>IFERROR(VLOOKUP(A111,서부본부!$A:$B,2,0),0)</f>
        <v>0</v>
      </c>
    </row>
    <row r="112" spans="1:6" hidden="1" outlineLevel="1" x14ac:dyDescent="0.45">
      <c r="A112" s="3" t="s">
        <v>110</v>
      </c>
      <c r="B112" s="15">
        <f>IFERROR(VLOOKUP(sum!A112,강북본부!$A:$B,2,0),0)</f>
        <v>0</v>
      </c>
      <c r="C112" s="15">
        <f>IFERROR(VLOOKUP(A112,강남본부!$A:$B,2,0),0)</f>
        <v>0</v>
      </c>
      <c r="D112" s="15">
        <f>IFERROR(VLOOKUP(A112,강서본부!$A:$B,2,0),0)</f>
        <v>0</v>
      </c>
      <c r="E112" s="15">
        <f>IFERROR(VLOOKUP(A112,동부본부!$A:$B,2,0),0)</f>
        <v>0</v>
      </c>
      <c r="F112" s="15">
        <f>IFERROR(VLOOKUP(A112,서부본부!$A:$B,2,0),0)</f>
        <v>0</v>
      </c>
    </row>
    <row r="113" spans="1:6" hidden="1" outlineLevel="1" x14ac:dyDescent="0.45">
      <c r="A113" s="3" t="s">
        <v>111</v>
      </c>
      <c r="B113" s="15">
        <f>IFERROR(VLOOKUP(sum!A113,강북본부!$A:$B,2,0),0)</f>
        <v>0</v>
      </c>
      <c r="C113" s="15">
        <f>IFERROR(VLOOKUP(A113,강남본부!$A:$B,2,0),0)</f>
        <v>0</v>
      </c>
      <c r="D113" s="15">
        <f>IFERROR(VLOOKUP(A113,강서본부!$A:$B,2,0),0)</f>
        <v>0</v>
      </c>
      <c r="E113" s="15">
        <f>IFERROR(VLOOKUP(A113,동부본부!$A:$B,2,0),0)</f>
        <v>0</v>
      </c>
      <c r="F113" s="15">
        <f>IFERROR(VLOOKUP(A113,서부본부!$A:$B,2,0),0)</f>
        <v>0</v>
      </c>
    </row>
    <row r="114" spans="1:6" hidden="1" outlineLevel="1" x14ac:dyDescent="0.45">
      <c r="A114" s="3" t="s">
        <v>112</v>
      </c>
      <c r="B114" s="15">
        <f>IFERROR(VLOOKUP(sum!A114,강북본부!$A:$B,2,0),0)</f>
        <v>0</v>
      </c>
      <c r="C114" s="15">
        <f>IFERROR(VLOOKUP(A114,강남본부!$A:$B,2,0),0)</f>
        <v>0</v>
      </c>
      <c r="D114" s="15">
        <f>IFERROR(VLOOKUP(A114,강서본부!$A:$B,2,0),0)</f>
        <v>0</v>
      </c>
      <c r="E114" s="15">
        <f>IFERROR(VLOOKUP(A114,동부본부!$A:$B,2,0),0)</f>
        <v>0</v>
      </c>
      <c r="F114" s="15">
        <f>IFERROR(VLOOKUP(A114,서부본부!$A:$B,2,0),0)</f>
        <v>0</v>
      </c>
    </row>
    <row r="115" spans="1:6" collapsed="1" x14ac:dyDescent="0.45">
      <c r="A115" s="2" t="s">
        <v>113</v>
      </c>
      <c r="B115" s="14">
        <f>IFERROR(VLOOKUP(sum!A115,강북본부!$A:$B,2,0),0)</f>
        <v>2745666</v>
      </c>
      <c r="C115" s="14">
        <f>IFERROR(VLOOKUP(A115,강남본부!$A:$B,2,0),0)</f>
        <v>1222700</v>
      </c>
      <c r="D115" s="14">
        <f>IFERROR(VLOOKUP(A115,강서본부!$A:$B,2,0),0)</f>
        <v>1717800</v>
      </c>
      <c r="E115" s="14">
        <f>IFERROR(VLOOKUP(A115,동부본부!$A:$B,2,0),0)</f>
        <v>7250100</v>
      </c>
      <c r="F115" s="14">
        <f>IFERROR(VLOOKUP(A115,서부본부!$A:$B,2,0),0)</f>
        <v>11402050</v>
      </c>
    </row>
    <row r="116" spans="1:6" hidden="1" outlineLevel="1" x14ac:dyDescent="0.45">
      <c r="A116" s="3" t="s">
        <v>114</v>
      </c>
      <c r="B116" s="15">
        <f>IFERROR(VLOOKUP(sum!A116,강북본부!$A:$B,2,0),0)</f>
        <v>737947</v>
      </c>
      <c r="C116" s="15">
        <f>IFERROR(VLOOKUP(A116,강남본부!$A:$B,2,0),0)</f>
        <v>0</v>
      </c>
      <c r="D116" s="15">
        <f>IFERROR(VLOOKUP(A116,강서본부!$A:$B,2,0),0)</f>
        <v>178000</v>
      </c>
      <c r="E116" s="15">
        <f>IFERROR(VLOOKUP(A116,동부본부!$A:$B,2,0),0)</f>
        <v>5831100</v>
      </c>
      <c r="F116" s="15">
        <f>IFERROR(VLOOKUP(A116,서부본부!$A:$B,2,0),0)</f>
        <v>9969050</v>
      </c>
    </row>
    <row r="117" spans="1:6" hidden="1" outlineLevel="1" x14ac:dyDescent="0.45">
      <c r="A117" s="3" t="s">
        <v>115</v>
      </c>
      <c r="B117" s="15">
        <f>IFERROR(VLOOKUP(sum!A117,강북본부!$A:$B,2,0),0)</f>
        <v>70000</v>
      </c>
      <c r="C117" s="15">
        <f>IFERROR(VLOOKUP(A117,강남본부!$A:$B,2,0),0)</f>
        <v>0</v>
      </c>
      <c r="D117" s="15">
        <f>IFERROR(VLOOKUP(A117,강서본부!$A:$B,2,0),0)</f>
        <v>0</v>
      </c>
      <c r="E117" s="15">
        <f>IFERROR(VLOOKUP(A117,동부본부!$A:$B,2,0),0)</f>
        <v>0</v>
      </c>
      <c r="F117" s="15">
        <f>IFERROR(VLOOKUP(A117,서부본부!$A:$B,2,0),0)</f>
        <v>90000</v>
      </c>
    </row>
    <row r="118" spans="1:6" hidden="1" outlineLevel="1" x14ac:dyDescent="0.45">
      <c r="A118" s="3" t="s">
        <v>116</v>
      </c>
      <c r="B118" s="15">
        <f>IFERROR(VLOOKUP(sum!A118,강북본부!$A:$B,2,0),0)</f>
        <v>0</v>
      </c>
      <c r="C118" s="15">
        <f>IFERROR(VLOOKUP(A118,강남본부!$A:$B,2,0),0)</f>
        <v>0</v>
      </c>
      <c r="D118" s="15">
        <f>IFERROR(VLOOKUP(A118,강서본부!$A:$B,2,0),0)</f>
        <v>0</v>
      </c>
      <c r="E118" s="15">
        <f>IFERROR(VLOOKUP(A118,동부본부!$A:$B,2,0),0)</f>
        <v>0</v>
      </c>
      <c r="F118" s="15">
        <f>IFERROR(VLOOKUP(A118,서부본부!$A:$B,2,0),0)</f>
        <v>0</v>
      </c>
    </row>
    <row r="119" spans="1:6" hidden="1" outlineLevel="1" x14ac:dyDescent="0.45">
      <c r="A119" s="3" t="s">
        <v>117</v>
      </c>
      <c r="B119" s="15">
        <f>IFERROR(VLOOKUP(sum!A119,강북본부!$A:$B,2,0),0)</f>
        <v>1937719</v>
      </c>
      <c r="C119" s="15">
        <f>IFERROR(VLOOKUP(A119,강남본부!$A:$B,2,0),0)</f>
        <v>1222700</v>
      </c>
      <c r="D119" s="15">
        <f>IFERROR(VLOOKUP(A119,강서본부!$A:$B,2,0),0)</f>
        <v>1539800</v>
      </c>
      <c r="E119" s="15">
        <f>IFERROR(VLOOKUP(A119,동부본부!$A:$B,2,0),0)</f>
        <v>1419000</v>
      </c>
      <c r="F119" s="15">
        <f>IFERROR(VLOOKUP(A119,서부본부!$A:$B,2,0),0)</f>
        <v>1343000</v>
      </c>
    </row>
    <row r="120" spans="1:6" hidden="1" outlineLevel="1" x14ac:dyDescent="0.45">
      <c r="A120" s="3" t="s">
        <v>118</v>
      </c>
      <c r="B120" s="15">
        <f>IFERROR(VLOOKUP(sum!A120,강북본부!$A:$B,2,0),0)</f>
        <v>0</v>
      </c>
      <c r="C120" s="15">
        <f>IFERROR(VLOOKUP(A120,강남본부!$A:$B,2,0),0)</f>
        <v>0</v>
      </c>
      <c r="D120" s="15">
        <f>IFERROR(VLOOKUP(A120,강서본부!$A:$B,2,0),0)</f>
        <v>0</v>
      </c>
      <c r="E120" s="15">
        <f>IFERROR(VLOOKUP(A120,동부본부!$A:$B,2,0),0)</f>
        <v>0</v>
      </c>
      <c r="F120" s="15">
        <f>IFERROR(VLOOKUP(A120,서부본부!$A:$B,2,0),0)</f>
        <v>0</v>
      </c>
    </row>
    <row r="121" spans="1:6" hidden="1" outlineLevel="1" x14ac:dyDescent="0.45">
      <c r="A121" s="3" t="s">
        <v>119</v>
      </c>
      <c r="B121" s="15">
        <f>IFERROR(VLOOKUP(sum!A121,강북본부!$A:$B,2,0),0)</f>
        <v>0</v>
      </c>
      <c r="C121" s="15">
        <f>IFERROR(VLOOKUP(A121,강남본부!$A:$B,2,0),0)</f>
        <v>0</v>
      </c>
      <c r="D121" s="15">
        <f>IFERROR(VLOOKUP(A121,강서본부!$A:$B,2,0),0)</f>
        <v>0</v>
      </c>
      <c r="E121" s="15">
        <f>IFERROR(VLOOKUP(A121,동부본부!$A:$B,2,0),0)</f>
        <v>0</v>
      </c>
      <c r="F121" s="15">
        <f>IFERROR(VLOOKUP(A121,서부본부!$A:$B,2,0),0)</f>
        <v>0</v>
      </c>
    </row>
    <row r="122" spans="1:6" collapsed="1" x14ac:dyDescent="0.45">
      <c r="A122" s="2" t="s">
        <v>120</v>
      </c>
      <c r="B122" s="14">
        <f>IFERROR(VLOOKUP(sum!A122,강북본부!$A:$B,2,0),0)</f>
        <v>100000</v>
      </c>
      <c r="C122" s="14">
        <f>IFERROR(VLOOKUP(A122,강남본부!$A:$B,2,0),0)</f>
        <v>100000</v>
      </c>
      <c r="D122" s="14">
        <f>IFERROR(VLOOKUP(A122,강서본부!$A:$B,2,0),0)</f>
        <v>200000</v>
      </c>
      <c r="E122" s="14">
        <f>IFERROR(VLOOKUP(A122,동부본부!$A:$B,2,0),0)</f>
        <v>100000</v>
      </c>
      <c r="F122" s="14">
        <f>IFERROR(VLOOKUP(A122,서부본부!$A:$B,2,0),0)</f>
        <v>200000</v>
      </c>
    </row>
    <row r="123" spans="1:6" hidden="1" outlineLevel="1" x14ac:dyDescent="0.45">
      <c r="A123" s="3" t="s">
        <v>121</v>
      </c>
      <c r="B123" s="15">
        <f>IFERROR(VLOOKUP(sum!A123,강북본부!$A:$B,2,0),0)</f>
        <v>0</v>
      </c>
      <c r="C123" s="15">
        <f>IFERROR(VLOOKUP(A123,강남본부!$A:$B,2,0),0)</f>
        <v>0</v>
      </c>
      <c r="D123" s="15">
        <f>IFERROR(VLOOKUP(A123,강서본부!$A:$B,2,0),0)</f>
        <v>0</v>
      </c>
      <c r="E123" s="15">
        <f>IFERROR(VLOOKUP(A123,동부본부!$A:$B,2,0),0)</f>
        <v>0</v>
      </c>
      <c r="F123" s="15">
        <f>IFERROR(VLOOKUP(A123,서부본부!$A:$B,2,0),0)</f>
        <v>0</v>
      </c>
    </row>
    <row r="124" spans="1:6" hidden="1" outlineLevel="1" x14ac:dyDescent="0.45">
      <c r="A124" s="3" t="s">
        <v>122</v>
      </c>
      <c r="B124" s="15">
        <f>IFERROR(VLOOKUP(sum!A124,강북본부!$A:$B,2,0),0)</f>
        <v>0</v>
      </c>
      <c r="C124" s="15">
        <f>IFERROR(VLOOKUP(A124,강남본부!$A:$B,2,0),0)</f>
        <v>0</v>
      </c>
      <c r="D124" s="15">
        <f>IFERROR(VLOOKUP(A124,강서본부!$A:$B,2,0),0)</f>
        <v>0</v>
      </c>
      <c r="E124" s="15">
        <f>IFERROR(VLOOKUP(A124,동부본부!$A:$B,2,0),0)</f>
        <v>0</v>
      </c>
      <c r="F124" s="15">
        <f>IFERROR(VLOOKUP(A124,서부본부!$A:$B,2,0),0)</f>
        <v>0</v>
      </c>
    </row>
    <row r="125" spans="1:6" hidden="1" outlineLevel="1" x14ac:dyDescent="0.45">
      <c r="A125" s="3" t="s">
        <v>123</v>
      </c>
      <c r="B125" s="15">
        <f>IFERROR(VLOOKUP(sum!A125,강북본부!$A:$B,2,0),0)</f>
        <v>100000</v>
      </c>
      <c r="C125" s="15">
        <f>IFERROR(VLOOKUP(A125,강남본부!$A:$B,2,0),0)</f>
        <v>100000</v>
      </c>
      <c r="D125" s="15">
        <f>IFERROR(VLOOKUP(A125,강서본부!$A:$B,2,0),0)</f>
        <v>200000</v>
      </c>
      <c r="E125" s="15">
        <f>IFERROR(VLOOKUP(A125,동부본부!$A:$B,2,0),0)</f>
        <v>100000</v>
      </c>
      <c r="F125" s="15">
        <f>IFERROR(VLOOKUP(A125,서부본부!$A:$B,2,0),0)</f>
        <v>200000</v>
      </c>
    </row>
    <row r="126" spans="1:6" collapsed="1" x14ac:dyDescent="0.45">
      <c r="A126" s="2" t="s">
        <v>124</v>
      </c>
      <c r="B126" s="14">
        <f>IFERROR(VLOOKUP(sum!A126,강북본부!$A:$B,2,0),0)</f>
        <v>2020287</v>
      </c>
      <c r="C126" s="14">
        <f>IFERROR(VLOOKUP(A126,강남본부!$A:$B,2,0),0)</f>
        <v>1450328</v>
      </c>
      <c r="D126" s="14">
        <f>IFERROR(VLOOKUP(A126,강서본부!$A:$B,2,0),0)</f>
        <v>1501216</v>
      </c>
      <c r="E126" s="14">
        <f>IFERROR(VLOOKUP(A126,동부본부!$A:$B,2,0),0)</f>
        <v>2592561</v>
      </c>
      <c r="F126" s="14">
        <f>IFERROR(VLOOKUP(A126,서부본부!$A:$B,2,0),0)</f>
        <v>2109537</v>
      </c>
    </row>
    <row r="127" spans="1:6" hidden="1" outlineLevel="1" x14ac:dyDescent="0.45">
      <c r="A127" s="3" t="s">
        <v>125</v>
      </c>
      <c r="B127" s="15">
        <f>IFERROR(VLOOKUP(sum!A127,강북본부!$A:$B,2,0),0)</f>
        <v>0</v>
      </c>
      <c r="C127" s="15">
        <f>IFERROR(VLOOKUP(A127,강남본부!$A:$B,2,0),0)</f>
        <v>0</v>
      </c>
      <c r="D127" s="15">
        <f>IFERROR(VLOOKUP(A127,강서본부!$A:$B,2,0),0)</f>
        <v>0</v>
      </c>
      <c r="E127" s="15">
        <f>IFERROR(VLOOKUP(A127,동부본부!$A:$B,2,0),0)</f>
        <v>0</v>
      </c>
      <c r="F127" s="15">
        <f>IFERROR(VLOOKUP(A127,서부본부!$A:$B,2,0),0)</f>
        <v>0</v>
      </c>
    </row>
    <row r="128" spans="1:6" hidden="1" outlineLevel="1" x14ac:dyDescent="0.45">
      <c r="A128" s="3" t="s">
        <v>126</v>
      </c>
      <c r="B128" s="15">
        <f>IFERROR(VLOOKUP(sum!A128,강북본부!$A:$B,2,0),0)</f>
        <v>0</v>
      </c>
      <c r="C128" s="15">
        <f>IFERROR(VLOOKUP(A128,강남본부!$A:$B,2,0),0)</f>
        <v>0</v>
      </c>
      <c r="D128" s="15">
        <f>IFERROR(VLOOKUP(A128,강서본부!$A:$B,2,0),0)</f>
        <v>0</v>
      </c>
      <c r="E128" s="15">
        <f>IFERROR(VLOOKUP(A128,동부본부!$A:$B,2,0),0)</f>
        <v>0</v>
      </c>
      <c r="F128" s="15">
        <f>IFERROR(VLOOKUP(A128,서부본부!$A:$B,2,0),0)</f>
        <v>0</v>
      </c>
    </row>
    <row r="129" spans="1:6" hidden="1" outlineLevel="1" x14ac:dyDescent="0.45">
      <c r="A129" s="3" t="s">
        <v>127</v>
      </c>
      <c r="B129" s="15">
        <f>IFERROR(VLOOKUP(sum!A129,강북본부!$A:$B,2,0),0)</f>
        <v>770037</v>
      </c>
      <c r="C129" s="15">
        <f>IFERROR(VLOOKUP(A129,강남본부!$A:$B,2,0),0)</f>
        <v>733368</v>
      </c>
      <c r="D129" s="15">
        <f>IFERROR(VLOOKUP(A129,강서본부!$A:$B,2,0),0)</f>
        <v>550026</v>
      </c>
      <c r="E129" s="15">
        <f>IFERROR(VLOOKUP(A129,동부본부!$A:$B,2,0),0)</f>
        <v>1576741</v>
      </c>
      <c r="F129" s="15">
        <f>IFERROR(VLOOKUP(A129,서부본부!$A:$B,2,0),0)</f>
        <v>990047</v>
      </c>
    </row>
    <row r="130" spans="1:6" hidden="1" outlineLevel="1" x14ac:dyDescent="0.45">
      <c r="A130" s="3" t="s">
        <v>128</v>
      </c>
      <c r="B130" s="15">
        <f>IFERROR(VLOOKUP(sum!A130,강북본부!$A:$B,2,0),0)</f>
        <v>1250250</v>
      </c>
      <c r="C130" s="15">
        <f>IFERROR(VLOOKUP(A130,강남본부!$A:$B,2,0),0)</f>
        <v>716960</v>
      </c>
      <c r="D130" s="15">
        <f>IFERROR(VLOOKUP(A130,강서본부!$A:$B,2,0),0)</f>
        <v>951190</v>
      </c>
      <c r="E130" s="15">
        <f>IFERROR(VLOOKUP(A130,동부본부!$A:$B,2,0),0)</f>
        <v>1015820</v>
      </c>
      <c r="F130" s="15">
        <f>IFERROR(VLOOKUP(A130,서부본부!$A:$B,2,0),0)</f>
        <v>1119490</v>
      </c>
    </row>
    <row r="131" spans="1:6" hidden="1" outlineLevel="1" x14ac:dyDescent="0.45">
      <c r="A131" s="4" t="s">
        <v>129</v>
      </c>
      <c r="B131" s="16">
        <f>IFERROR(VLOOKUP(sum!A131,강북본부!$A:$B,2,0),0)</f>
        <v>0</v>
      </c>
      <c r="C131" s="16">
        <f>IFERROR(VLOOKUP(A131,강남본부!$A:$B,2,0),0)</f>
        <v>0</v>
      </c>
      <c r="D131" s="16">
        <f>IFERROR(VLOOKUP(A131,강서본부!$A:$B,2,0),0)</f>
        <v>0</v>
      </c>
      <c r="E131" s="16">
        <f>IFERROR(VLOOKUP(A131,동부본부!$A:$B,2,0),0)</f>
        <v>0</v>
      </c>
      <c r="F131" s="16">
        <f>IFERROR(VLOOKUP(A131,서부본부!$A:$B,2,0),0)</f>
        <v>0</v>
      </c>
    </row>
    <row r="132" spans="1:6" hidden="1" outlineLevel="1" x14ac:dyDescent="0.45">
      <c r="A132" s="3" t="s">
        <v>130</v>
      </c>
      <c r="B132" s="15">
        <f>IFERROR(VLOOKUP(sum!A132,강북본부!$A:$B,2,0),0)</f>
        <v>0</v>
      </c>
      <c r="C132" s="15">
        <f>IFERROR(VLOOKUP(A132,강남본부!$A:$B,2,0),0)</f>
        <v>0</v>
      </c>
      <c r="D132" s="15">
        <f>IFERROR(VLOOKUP(A132,강서본부!$A:$B,2,0),0)</f>
        <v>0</v>
      </c>
      <c r="E132" s="15">
        <f>IFERROR(VLOOKUP(A132,동부본부!$A:$B,2,0),0)</f>
        <v>0</v>
      </c>
      <c r="F132" s="15">
        <f>IFERROR(VLOOKUP(A132,서부본부!$A:$B,2,0),0)</f>
        <v>0</v>
      </c>
    </row>
    <row r="133" spans="1:6" collapsed="1" x14ac:dyDescent="0.45">
      <c r="A133" s="2" t="s">
        <v>131</v>
      </c>
      <c r="B133" s="14">
        <f>IFERROR(VLOOKUP(sum!A133,강북본부!$A:$B,2,0),0)</f>
        <v>12341987</v>
      </c>
      <c r="C133" s="14">
        <f>IFERROR(VLOOKUP(A133,강남본부!$A:$B,2,0),0)</f>
        <v>8794164</v>
      </c>
      <c r="D133" s="14">
        <f>IFERROR(VLOOKUP(A133,강서본부!$A:$B,2,0),0)</f>
        <v>12035134</v>
      </c>
      <c r="E133" s="14">
        <f>IFERROR(VLOOKUP(A133,동부본부!$A:$B,2,0),0)</f>
        <v>22699868</v>
      </c>
      <c r="F133" s="14">
        <f>IFERROR(VLOOKUP(A133,서부본부!$A:$B,2,0),0)</f>
        <v>18033466</v>
      </c>
    </row>
    <row r="134" spans="1:6" hidden="1" outlineLevel="1" x14ac:dyDescent="0.45">
      <c r="A134" s="3" t="s">
        <v>132</v>
      </c>
      <c r="B134" s="15">
        <f>IFERROR(VLOOKUP(sum!A134,강북본부!$A:$B,2,0),0)</f>
        <v>12341987</v>
      </c>
      <c r="C134" s="15">
        <f>IFERROR(VLOOKUP(A134,강남본부!$A:$B,2,0),0)</f>
        <v>8794164</v>
      </c>
      <c r="D134" s="15">
        <f>IFERROR(VLOOKUP(A134,강서본부!$A:$B,2,0),0)</f>
        <v>12035134</v>
      </c>
      <c r="E134" s="15">
        <f>IFERROR(VLOOKUP(A134,동부본부!$A:$B,2,0),0)</f>
        <v>22699868</v>
      </c>
      <c r="F134" s="15">
        <f>IFERROR(VLOOKUP(A134,서부본부!$A:$B,2,0),0)</f>
        <v>18033466</v>
      </c>
    </row>
    <row r="135" spans="1:6" hidden="1" outlineLevel="1" x14ac:dyDescent="0.45">
      <c r="A135" s="3" t="s">
        <v>133</v>
      </c>
      <c r="B135" s="15">
        <f>IFERROR(VLOOKUP(sum!A135,강북본부!$A:$B,2,0),0)</f>
        <v>0</v>
      </c>
      <c r="C135" s="15">
        <f>IFERROR(VLOOKUP(A135,강남본부!$A:$B,2,0),0)</f>
        <v>0</v>
      </c>
      <c r="D135" s="15">
        <f>IFERROR(VLOOKUP(A135,강서본부!$A:$B,2,0),0)</f>
        <v>0</v>
      </c>
      <c r="E135" s="15">
        <f>IFERROR(VLOOKUP(A135,동부본부!$A:$B,2,0),0)</f>
        <v>0</v>
      </c>
      <c r="F135" s="15">
        <f>IFERROR(VLOOKUP(A135,서부본부!$A:$B,2,0),0)</f>
        <v>0</v>
      </c>
    </row>
    <row r="136" spans="1:6" collapsed="1" x14ac:dyDescent="0.45">
      <c r="A136" s="2" t="s">
        <v>134</v>
      </c>
      <c r="B136" s="14">
        <f>IFERROR(VLOOKUP(sum!A136,강북본부!$A:$B,2,0),0)</f>
        <v>0</v>
      </c>
      <c r="C136" s="14">
        <f>IFERROR(VLOOKUP(A136,강남본부!$A:$B,2,0),0)</f>
        <v>0</v>
      </c>
      <c r="D136" s="14">
        <f>IFERROR(VLOOKUP(A136,강서본부!$A:$B,2,0),0)</f>
        <v>0</v>
      </c>
      <c r="E136" s="14">
        <f>IFERROR(VLOOKUP(A136,동부본부!$A:$B,2,0),0)</f>
        <v>0</v>
      </c>
      <c r="F136" s="14">
        <f>IFERROR(VLOOKUP(A136,서부본부!$A:$B,2,0),0)</f>
        <v>0</v>
      </c>
    </row>
    <row r="137" spans="1:6" hidden="1" outlineLevel="1" x14ac:dyDescent="0.45">
      <c r="A137" s="3" t="s">
        <v>135</v>
      </c>
      <c r="B137" s="15">
        <f>IFERROR(VLOOKUP(sum!A137,강북본부!$A:$B,2,0),0)</f>
        <v>0</v>
      </c>
      <c r="C137" s="15">
        <f>IFERROR(VLOOKUP(A137,강남본부!$A:$B,2,0),0)</f>
        <v>0</v>
      </c>
      <c r="D137" s="15">
        <f>IFERROR(VLOOKUP(A137,강서본부!$A:$B,2,0),0)</f>
        <v>0</v>
      </c>
      <c r="E137" s="15">
        <f>IFERROR(VLOOKUP(A137,동부본부!$A:$B,2,0),0)</f>
        <v>0</v>
      </c>
      <c r="F137" s="15">
        <f>IFERROR(VLOOKUP(A137,서부본부!$A:$B,2,0),0)</f>
        <v>0</v>
      </c>
    </row>
    <row r="138" spans="1:6" hidden="1" outlineLevel="1" x14ac:dyDescent="0.45">
      <c r="A138" s="3" t="s">
        <v>136</v>
      </c>
      <c r="B138" s="15">
        <f>IFERROR(VLOOKUP(sum!A138,강북본부!$A:$B,2,0),0)</f>
        <v>0</v>
      </c>
      <c r="C138" s="15">
        <f>IFERROR(VLOOKUP(A138,강남본부!$A:$B,2,0),0)</f>
        <v>0</v>
      </c>
      <c r="D138" s="15">
        <f>IFERROR(VLOOKUP(A138,강서본부!$A:$B,2,0),0)</f>
        <v>0</v>
      </c>
      <c r="E138" s="15">
        <f>IFERROR(VLOOKUP(A138,동부본부!$A:$B,2,0),0)</f>
        <v>0</v>
      </c>
      <c r="F138" s="15">
        <f>IFERROR(VLOOKUP(A138,서부본부!$A:$B,2,0),0)</f>
        <v>0</v>
      </c>
    </row>
    <row r="139" spans="1:6" hidden="1" outlineLevel="1" x14ac:dyDescent="0.45">
      <c r="A139" s="3" t="s">
        <v>137</v>
      </c>
      <c r="B139" s="15">
        <f>IFERROR(VLOOKUP(sum!A139,강북본부!$A:$B,2,0),0)</f>
        <v>0</v>
      </c>
      <c r="C139" s="15">
        <f>IFERROR(VLOOKUP(A139,강남본부!$A:$B,2,0),0)</f>
        <v>0</v>
      </c>
      <c r="D139" s="15">
        <f>IFERROR(VLOOKUP(A139,강서본부!$A:$B,2,0),0)</f>
        <v>0</v>
      </c>
      <c r="E139" s="15">
        <f>IFERROR(VLOOKUP(A139,동부본부!$A:$B,2,0),0)</f>
        <v>0</v>
      </c>
      <c r="F139" s="15">
        <f>IFERROR(VLOOKUP(A139,서부본부!$A:$B,2,0),0)</f>
        <v>0</v>
      </c>
    </row>
    <row r="140" spans="1:6" hidden="1" outlineLevel="1" x14ac:dyDescent="0.45">
      <c r="A140" s="3" t="s">
        <v>138</v>
      </c>
      <c r="B140" s="15">
        <f>IFERROR(VLOOKUP(sum!A140,강북본부!$A:$B,2,0),0)</f>
        <v>0</v>
      </c>
      <c r="C140" s="15">
        <f>IFERROR(VLOOKUP(A140,강남본부!$A:$B,2,0),0)</f>
        <v>0</v>
      </c>
      <c r="D140" s="15">
        <f>IFERROR(VLOOKUP(A140,강서본부!$A:$B,2,0),0)</f>
        <v>0</v>
      </c>
      <c r="E140" s="15">
        <f>IFERROR(VLOOKUP(A140,동부본부!$A:$B,2,0),0)</f>
        <v>0</v>
      </c>
      <c r="F140" s="15">
        <f>IFERROR(VLOOKUP(A140,서부본부!$A:$B,2,0),0)</f>
        <v>0</v>
      </c>
    </row>
    <row r="141" spans="1:6" collapsed="1" x14ac:dyDescent="0.45">
      <c r="A141" s="2" t="s">
        <v>139</v>
      </c>
      <c r="B141" s="14">
        <f>IFERROR(VLOOKUP(sum!A141,강북본부!$A:$B,2,0),0)</f>
        <v>2611666</v>
      </c>
      <c r="C141" s="14">
        <f>IFERROR(VLOOKUP(A141,강남본부!$A:$B,2,0),0)</f>
        <v>4871416</v>
      </c>
      <c r="D141" s="14">
        <f>IFERROR(VLOOKUP(A141,강서본부!$A:$B,2,0),0)</f>
        <v>3155000</v>
      </c>
      <c r="E141" s="14">
        <f>IFERROR(VLOOKUP(A141,동부본부!$A:$B,2,0),0)</f>
        <v>1046659</v>
      </c>
      <c r="F141" s="14">
        <f>IFERROR(VLOOKUP(A141,서부본부!$A:$B,2,0),0)</f>
        <v>2100469</v>
      </c>
    </row>
    <row r="142" spans="1:6" x14ac:dyDescent="0.45">
      <c r="A142" s="2" t="s">
        <v>140</v>
      </c>
      <c r="B142" s="14">
        <f>IFERROR(VLOOKUP(sum!A142,강북본부!$A:$B,2,0),0)</f>
        <v>155309321</v>
      </c>
      <c r="C142" s="14">
        <f>IFERROR(VLOOKUP(A142,강남본부!$A:$B,2,0),0)</f>
        <v>136041241</v>
      </c>
      <c r="D142" s="14">
        <f>IFERROR(VLOOKUP(A142,강서본부!$A:$B,2,0),0)</f>
        <v>121010993</v>
      </c>
      <c r="E142" s="14">
        <f>IFERROR(VLOOKUP(A142,동부본부!$A:$B,2,0),0)</f>
        <v>152160461</v>
      </c>
      <c r="F142" s="14">
        <f>IFERROR(VLOOKUP(A142,서부본부!$A:$B,2,0),0)</f>
        <v>131162380</v>
      </c>
    </row>
    <row r="143" spans="1:6" hidden="1" outlineLevel="1" x14ac:dyDescent="0.45">
      <c r="A143" s="3" t="s">
        <v>141</v>
      </c>
      <c r="B143" s="15">
        <f>IFERROR(VLOOKUP(sum!A143,강북본부!$A:$B,2,0),0)</f>
        <v>35808000</v>
      </c>
      <c r="C143" s="15">
        <f>IFERROR(VLOOKUP(A143,강남본부!$A:$B,2,0),0)</f>
        <v>24616000</v>
      </c>
      <c r="D143" s="15">
        <f>IFERROR(VLOOKUP(A143,강서본부!$A:$B,2,0),0)</f>
        <v>21660000</v>
      </c>
      <c r="E143" s="15">
        <f>IFERROR(VLOOKUP(A143,동부본부!$A:$B,2,0),0)</f>
        <v>42652000</v>
      </c>
      <c r="F143" s="15">
        <f>IFERROR(VLOOKUP(A143,서부본부!$A:$B,2,0),0)</f>
        <v>37772000</v>
      </c>
    </row>
    <row r="144" spans="1:6" hidden="1" outlineLevel="1" x14ac:dyDescent="0.45">
      <c r="A144" s="3" t="s">
        <v>142</v>
      </c>
      <c r="B144" s="15">
        <f>IFERROR(VLOOKUP(sum!A144,강북본부!$A:$B,2,0),0)</f>
        <v>0</v>
      </c>
      <c r="C144" s="15">
        <f>IFERROR(VLOOKUP(A144,강남본부!$A:$B,2,0),0)</f>
        <v>0</v>
      </c>
      <c r="D144" s="15">
        <f>IFERROR(VLOOKUP(A144,강서본부!$A:$B,2,0),0)</f>
        <v>0</v>
      </c>
      <c r="E144" s="15">
        <f>IFERROR(VLOOKUP(A144,동부본부!$A:$B,2,0),0)</f>
        <v>0</v>
      </c>
      <c r="F144" s="15">
        <f>IFERROR(VLOOKUP(A144,서부본부!$A:$B,2,0),0)</f>
        <v>0</v>
      </c>
    </row>
    <row r="145" spans="1:6" hidden="1" outlineLevel="1" x14ac:dyDescent="0.45">
      <c r="A145" s="3" t="s">
        <v>143</v>
      </c>
      <c r="B145" s="15">
        <f>IFERROR(VLOOKUP(sum!A145,강북본부!$A:$B,2,0),0)</f>
        <v>64516550</v>
      </c>
      <c r="C145" s="15">
        <f>IFERROR(VLOOKUP(A145,강남본부!$A:$B,2,0),0)</f>
        <v>60879504</v>
      </c>
      <c r="D145" s="15">
        <f>IFERROR(VLOOKUP(A145,강서본부!$A:$B,2,0),0)</f>
        <v>57164077</v>
      </c>
      <c r="E145" s="15">
        <f>IFERROR(VLOOKUP(A145,동부본부!$A:$B,2,0),0)</f>
        <v>72109532</v>
      </c>
      <c r="F145" s="15">
        <f>IFERROR(VLOOKUP(A145,서부본부!$A:$B,2,0),0)</f>
        <v>61257988</v>
      </c>
    </row>
    <row r="146" spans="1:6" hidden="1" outlineLevel="1" x14ac:dyDescent="0.45">
      <c r="A146" s="3" t="s">
        <v>144</v>
      </c>
      <c r="B146" s="15">
        <f>IFERROR(VLOOKUP(sum!A146,강북본부!$A:$B,2,0),0)</f>
        <v>54984771</v>
      </c>
      <c r="C146" s="15">
        <f>IFERROR(VLOOKUP(A146,강남본부!$A:$B,2,0),0)</f>
        <v>50545737</v>
      </c>
      <c r="D146" s="15">
        <f>IFERROR(VLOOKUP(A146,강서본부!$A:$B,2,0),0)</f>
        <v>42186916</v>
      </c>
      <c r="E146" s="15">
        <f>IFERROR(VLOOKUP(A146,동부본부!$A:$B,2,0),0)</f>
        <v>37398929</v>
      </c>
      <c r="F146" s="15">
        <f>IFERROR(VLOOKUP(A146,서부본부!$A:$B,2,0),0)</f>
        <v>32132392</v>
      </c>
    </row>
    <row r="147" spans="1:6" hidden="1" outlineLevel="1" x14ac:dyDescent="0.45">
      <c r="A147" s="3" t="s">
        <v>145</v>
      </c>
      <c r="B147" s="15">
        <f>IFERROR(VLOOKUP(sum!A147,강북본부!$A:$B,2,0),0)</f>
        <v>0</v>
      </c>
      <c r="C147" s="15">
        <f>IFERROR(VLOOKUP(A147,강남본부!$A:$B,2,0),0)</f>
        <v>0</v>
      </c>
      <c r="D147" s="15">
        <f>IFERROR(VLOOKUP(A147,강서본부!$A:$B,2,0),0)</f>
        <v>0</v>
      </c>
      <c r="E147" s="15">
        <f>IFERROR(VLOOKUP(A147,동부본부!$A:$B,2,0),0)</f>
        <v>0</v>
      </c>
      <c r="F147" s="15">
        <f>IFERROR(VLOOKUP(A147,서부본부!$A:$B,2,0),0)</f>
        <v>0</v>
      </c>
    </row>
    <row r="148" spans="1:6" hidden="1" outlineLevel="1" x14ac:dyDescent="0.45">
      <c r="A148" s="3" t="s">
        <v>146</v>
      </c>
      <c r="B148" s="15">
        <f>IFERROR(VLOOKUP(sum!A148,강북본부!$A:$B,2,0),0)</f>
        <v>0</v>
      </c>
      <c r="C148" s="15">
        <f>IFERROR(VLOOKUP(A148,강남본부!$A:$B,2,0),0)</f>
        <v>0</v>
      </c>
      <c r="D148" s="15">
        <f>IFERROR(VLOOKUP(A148,강서본부!$A:$B,2,0),0)</f>
        <v>0</v>
      </c>
      <c r="E148" s="15">
        <f>IFERROR(VLOOKUP(A148,동부본부!$A:$B,2,0),0)</f>
        <v>0</v>
      </c>
      <c r="F148" s="15">
        <f>IFERROR(VLOOKUP(A148,서부본부!$A:$B,2,0),0)</f>
        <v>0</v>
      </c>
    </row>
    <row r="149" spans="1:6" hidden="1" outlineLevel="1" x14ac:dyDescent="0.45">
      <c r="A149" s="3" t="s">
        <v>147</v>
      </c>
      <c r="B149" s="15">
        <f>IFERROR(VLOOKUP(sum!A149,강북본부!$A:$B,2,0),0)</f>
        <v>0</v>
      </c>
      <c r="C149" s="15">
        <f>IFERROR(VLOOKUP(A149,강남본부!$A:$B,2,0),0)</f>
        <v>0</v>
      </c>
      <c r="D149" s="15">
        <f>IFERROR(VLOOKUP(A149,강서본부!$A:$B,2,0),0)</f>
        <v>0</v>
      </c>
      <c r="E149" s="15">
        <f>IFERROR(VLOOKUP(A149,동부본부!$A:$B,2,0),0)</f>
        <v>0</v>
      </c>
      <c r="F149" s="15">
        <f>IFERROR(VLOOKUP(A149,서부본부!$A:$B,2,0),0)</f>
        <v>0</v>
      </c>
    </row>
    <row r="150" spans="1:6" hidden="1" outlineLevel="1" x14ac:dyDescent="0.45">
      <c r="A150" s="3" t="s">
        <v>148</v>
      </c>
      <c r="B150" s="15">
        <f>IFERROR(VLOOKUP(sum!A150,강북본부!$A:$B,2,0),0)</f>
        <v>0</v>
      </c>
      <c r="C150" s="15">
        <f>IFERROR(VLOOKUP(A150,강남본부!$A:$B,2,0),0)</f>
        <v>0</v>
      </c>
      <c r="D150" s="15">
        <f>IFERROR(VLOOKUP(A150,강서본부!$A:$B,2,0),0)</f>
        <v>0</v>
      </c>
      <c r="E150" s="15">
        <f>IFERROR(VLOOKUP(A150,동부본부!$A:$B,2,0),0)</f>
        <v>0</v>
      </c>
      <c r="F150" s="15">
        <f>IFERROR(VLOOKUP(A150,서부본부!$A:$B,2,0),0)</f>
        <v>0</v>
      </c>
    </row>
    <row r="151" spans="1:6" collapsed="1" x14ac:dyDescent="0.45">
      <c r="A151" s="2" t="s">
        <v>149</v>
      </c>
      <c r="B151" s="14">
        <f>IFERROR(VLOOKUP(sum!A151,강북본부!$A:$B,2,0),0)</f>
        <v>157941</v>
      </c>
      <c r="C151" s="14">
        <f>IFERROR(VLOOKUP(A151,강남본부!$A:$B,2,0),0)</f>
        <v>0</v>
      </c>
      <c r="D151" s="14">
        <f>IFERROR(VLOOKUP(A151,강서본부!$A:$B,2,0),0)</f>
        <v>-164662</v>
      </c>
      <c r="E151" s="14">
        <f>IFERROR(VLOOKUP(A151,동부본부!$A:$B,2,0),0)</f>
        <v>100921</v>
      </c>
      <c r="F151" s="14">
        <f>IFERROR(VLOOKUP(A151,서부본부!$A:$B,2,0),0)</f>
        <v>284951</v>
      </c>
    </row>
    <row r="152" spans="1:6" hidden="1" outlineLevel="1" x14ac:dyDescent="0.45">
      <c r="A152" s="3" t="s">
        <v>150</v>
      </c>
      <c r="B152" s="15">
        <f>IFERROR(VLOOKUP(sum!A152,강북본부!$A:$B,2,0),0)</f>
        <v>0</v>
      </c>
      <c r="C152" s="15">
        <f>IFERROR(VLOOKUP(A152,강남본부!$A:$B,2,0),0)</f>
        <v>0</v>
      </c>
      <c r="D152" s="15">
        <f>IFERROR(VLOOKUP(A152,강서본부!$A:$B,2,0),0)</f>
        <v>0</v>
      </c>
      <c r="E152" s="15">
        <f>IFERROR(VLOOKUP(A152,동부본부!$A:$B,2,0),0)</f>
        <v>0</v>
      </c>
      <c r="F152" s="15">
        <f>IFERROR(VLOOKUP(A152,서부본부!$A:$B,2,0),0)</f>
        <v>0</v>
      </c>
    </row>
    <row r="153" spans="1:6" hidden="1" outlineLevel="1" x14ac:dyDescent="0.45">
      <c r="A153" s="3" t="s">
        <v>151</v>
      </c>
      <c r="B153" s="15">
        <f>IFERROR(VLOOKUP(sum!A153,강북본부!$A:$B,2,0),0)</f>
        <v>157941</v>
      </c>
      <c r="C153" s="15">
        <f>IFERROR(VLOOKUP(A153,강남본부!$A:$B,2,0),0)</f>
        <v>0</v>
      </c>
      <c r="D153" s="15">
        <f>IFERROR(VLOOKUP(A153,강서본부!$A:$B,2,0),0)</f>
        <v>-164662</v>
      </c>
      <c r="E153" s="15">
        <f>IFERROR(VLOOKUP(A153,동부본부!$A:$B,2,0),0)</f>
        <v>100921</v>
      </c>
      <c r="F153" s="15">
        <f>IFERROR(VLOOKUP(A153,서부본부!$A:$B,2,0),0)</f>
        <v>284951</v>
      </c>
    </row>
    <row r="154" spans="1:6" hidden="1" outlineLevel="1" x14ac:dyDescent="0.45">
      <c r="A154" s="3" t="s">
        <v>152</v>
      </c>
      <c r="B154" s="15">
        <f>IFERROR(VLOOKUP(sum!A154,강북본부!$A:$B,2,0),0)</f>
        <v>0</v>
      </c>
      <c r="C154" s="15">
        <f>IFERROR(VLOOKUP(A154,강남본부!$A:$B,2,0),0)</f>
        <v>0</v>
      </c>
      <c r="D154" s="15">
        <f>IFERROR(VLOOKUP(A154,강서본부!$A:$B,2,0),0)</f>
        <v>0</v>
      </c>
      <c r="E154" s="15">
        <f>IFERROR(VLOOKUP(A154,동부본부!$A:$B,2,0),0)</f>
        <v>0</v>
      </c>
      <c r="F154" s="15">
        <f>IFERROR(VLOOKUP(A154,서부본부!$A:$B,2,0),0)</f>
        <v>0</v>
      </c>
    </row>
    <row r="155" spans="1:6" hidden="1" outlineLevel="1" x14ac:dyDescent="0.45">
      <c r="A155" s="3" t="s">
        <v>153</v>
      </c>
      <c r="B155" s="15">
        <f>IFERROR(VLOOKUP(sum!A155,강북본부!$A:$B,2,0),0)</f>
        <v>0</v>
      </c>
      <c r="C155" s="15">
        <f>IFERROR(VLOOKUP(A155,강남본부!$A:$B,2,0),0)</f>
        <v>0</v>
      </c>
      <c r="D155" s="15">
        <f>IFERROR(VLOOKUP(A155,강서본부!$A:$B,2,0),0)</f>
        <v>0</v>
      </c>
      <c r="E155" s="15">
        <f>IFERROR(VLOOKUP(A155,동부본부!$A:$B,2,0),0)</f>
        <v>0</v>
      </c>
      <c r="F155" s="15">
        <f>IFERROR(VLOOKUP(A155,서부본부!$A:$B,2,0),0)</f>
        <v>0</v>
      </c>
    </row>
    <row r="156" spans="1:6" collapsed="1" x14ac:dyDescent="0.45">
      <c r="A156" s="2" t="s">
        <v>154</v>
      </c>
      <c r="B156" s="14">
        <f>IFERROR(VLOOKUP(sum!A156,강북본부!$A:$B,2,0),0)</f>
        <v>20463600</v>
      </c>
      <c r="C156" s="14">
        <f>IFERROR(VLOOKUP(A156,강남본부!$A:$B,2,0),0)</f>
        <v>13264375</v>
      </c>
      <c r="D156" s="14">
        <f>IFERROR(VLOOKUP(A156,강서본부!$A:$B,2,0),0)</f>
        <v>12792260</v>
      </c>
      <c r="E156" s="14">
        <f>IFERROR(VLOOKUP(A156,동부본부!$A:$B,2,0),0)</f>
        <v>25945232</v>
      </c>
      <c r="F156" s="14">
        <f>IFERROR(VLOOKUP(A156,서부본부!$A:$B,2,0),0)</f>
        <v>24431802</v>
      </c>
    </row>
    <row r="157" spans="1:6" hidden="1" outlineLevel="1" x14ac:dyDescent="0.45">
      <c r="A157" s="3" t="s">
        <v>155</v>
      </c>
      <c r="B157" s="15">
        <f>IFERROR(VLOOKUP(sum!A157,강북본부!$A:$B,2,0),0)</f>
        <v>4757405</v>
      </c>
      <c r="C157" s="15">
        <f>IFERROR(VLOOKUP(A157,강남본부!$A:$B,2,0),0)</f>
        <v>3819365</v>
      </c>
      <c r="D157" s="15">
        <f>IFERROR(VLOOKUP(A157,강서본부!$A:$B,2,0),0)</f>
        <v>4500198</v>
      </c>
      <c r="E157" s="15">
        <f>IFERROR(VLOOKUP(A157,동부본부!$A:$B,2,0),0)</f>
        <v>7393845</v>
      </c>
      <c r="F157" s="15">
        <f>IFERROR(VLOOKUP(A157,서부본부!$A:$B,2,0),0)</f>
        <v>5851158</v>
      </c>
    </row>
    <row r="158" spans="1:6" hidden="1" outlineLevel="1" x14ac:dyDescent="0.45">
      <c r="A158" s="3" t="s">
        <v>156</v>
      </c>
      <c r="B158" s="15">
        <f>IFERROR(VLOOKUP(sum!A158,강북본부!$A:$B,2,0),0)</f>
        <v>448000</v>
      </c>
      <c r="C158" s="15">
        <f>IFERROR(VLOOKUP(A158,강남본부!$A:$B,2,0),0)</f>
        <v>207559</v>
      </c>
      <c r="D158" s="15">
        <f>IFERROR(VLOOKUP(A158,강서본부!$A:$B,2,0),0)</f>
        <v>254000</v>
      </c>
      <c r="E158" s="15">
        <f>IFERROR(VLOOKUP(A158,동부본부!$A:$B,2,0),0)</f>
        <v>989512</v>
      </c>
      <c r="F158" s="15">
        <f>IFERROR(VLOOKUP(A158,서부본부!$A:$B,2,0),0)</f>
        <v>591800</v>
      </c>
    </row>
    <row r="159" spans="1:6" hidden="1" outlineLevel="1" x14ac:dyDescent="0.45">
      <c r="A159" s="3" t="s">
        <v>157</v>
      </c>
      <c r="B159" s="15">
        <f>IFERROR(VLOOKUP(sum!A159,강북본부!$A:$B,2,0),0)</f>
        <v>1642850</v>
      </c>
      <c r="C159" s="15">
        <f>IFERROR(VLOOKUP(A159,강남본부!$A:$B,2,0),0)</f>
        <v>634699</v>
      </c>
      <c r="D159" s="15">
        <f>IFERROR(VLOOKUP(A159,강서본부!$A:$B,2,0),0)</f>
        <v>1845700</v>
      </c>
      <c r="E159" s="15">
        <f>IFERROR(VLOOKUP(A159,동부본부!$A:$B,2,0),0)</f>
        <v>2318443</v>
      </c>
      <c r="F159" s="15">
        <f>IFERROR(VLOOKUP(A159,서부본부!$A:$B,2,0),0)</f>
        <v>2958116</v>
      </c>
    </row>
    <row r="160" spans="1:6" hidden="1" outlineLevel="1" x14ac:dyDescent="0.45">
      <c r="A160" s="3" t="s">
        <v>158</v>
      </c>
      <c r="B160" s="15">
        <f>IFERROR(VLOOKUP(sum!A160,강북본부!$A:$B,2,0),0)</f>
        <v>13615345</v>
      </c>
      <c r="C160" s="15">
        <f>IFERROR(VLOOKUP(A160,강남본부!$A:$B,2,0),0)</f>
        <v>8602752</v>
      </c>
      <c r="D160" s="15">
        <f>IFERROR(VLOOKUP(A160,강서본부!$A:$B,2,0),0)</f>
        <v>6192362</v>
      </c>
      <c r="E160" s="15">
        <f>IFERROR(VLOOKUP(A160,동부본부!$A:$B,2,0),0)</f>
        <v>15243432</v>
      </c>
      <c r="F160" s="15">
        <f>IFERROR(VLOOKUP(A160,서부본부!$A:$B,2,0),0)</f>
        <v>15030728</v>
      </c>
    </row>
    <row r="161" spans="1:6" hidden="1" outlineLevel="1" x14ac:dyDescent="0.45">
      <c r="A161" s="3" t="s">
        <v>159</v>
      </c>
      <c r="B161" s="15">
        <f>IFERROR(VLOOKUP(sum!A161,강북본부!$A:$B,2,0),0)</f>
        <v>0</v>
      </c>
      <c r="C161" s="15">
        <f>IFERROR(VLOOKUP(A161,강남본부!$A:$B,2,0),0)</f>
        <v>0</v>
      </c>
      <c r="D161" s="15">
        <f>IFERROR(VLOOKUP(A161,강서본부!$A:$B,2,0),0)</f>
        <v>0</v>
      </c>
      <c r="E161" s="15">
        <f>IFERROR(VLOOKUP(A161,동부본부!$A:$B,2,0),0)</f>
        <v>0</v>
      </c>
      <c r="F161" s="15">
        <f>IFERROR(VLOOKUP(A161,서부본부!$A:$B,2,0),0)</f>
        <v>0</v>
      </c>
    </row>
    <row r="162" spans="1:6" hidden="1" outlineLevel="1" x14ac:dyDescent="0.45">
      <c r="A162" s="4" t="s">
        <v>160</v>
      </c>
      <c r="B162" s="16">
        <f>IFERROR(VLOOKUP(sum!A162,강북본부!$A:$B,2,0),0)</f>
        <v>0</v>
      </c>
      <c r="C162" s="16">
        <f>IFERROR(VLOOKUP(A162,강남본부!$A:$B,2,0),0)</f>
        <v>0</v>
      </c>
      <c r="D162" s="16">
        <f>IFERROR(VLOOKUP(A162,강서본부!$A:$B,2,0),0)</f>
        <v>0</v>
      </c>
      <c r="E162" s="16">
        <f>IFERROR(VLOOKUP(A162,동부본부!$A:$B,2,0),0)</f>
        <v>0</v>
      </c>
      <c r="F162" s="16">
        <f>IFERROR(VLOOKUP(A162,서부본부!$A:$B,2,0),0)</f>
        <v>0</v>
      </c>
    </row>
    <row r="163" spans="1:6" hidden="1" outlineLevel="1" x14ac:dyDescent="0.45">
      <c r="A163" s="5" t="s">
        <v>161</v>
      </c>
      <c r="B163" s="17">
        <f>IFERROR(VLOOKUP(sum!A163,강북본부!$A:$B,2,0),0)</f>
        <v>0</v>
      </c>
      <c r="C163" s="17">
        <f>IFERROR(VLOOKUP(A163,강남본부!$A:$B,2,0),0)</f>
        <v>0</v>
      </c>
      <c r="D163" s="17">
        <f>IFERROR(VLOOKUP(A163,강서본부!$A:$B,2,0),0)</f>
        <v>0</v>
      </c>
      <c r="E163" s="17">
        <f>IFERROR(VLOOKUP(A163,동부본부!$A:$B,2,0),0)</f>
        <v>0</v>
      </c>
      <c r="F163" s="17">
        <f>IFERROR(VLOOKUP(A163,서부본부!$A:$B,2,0),0)</f>
        <v>0</v>
      </c>
    </row>
    <row r="164" spans="1:6" collapsed="1" x14ac:dyDescent="0.45">
      <c r="A164" s="2" t="s">
        <v>162</v>
      </c>
      <c r="B164" s="14">
        <f>IFERROR(VLOOKUP(sum!A164,강북본부!$A:$B,2,0),0)</f>
        <v>23747316</v>
      </c>
      <c r="C164" s="14">
        <f>IFERROR(VLOOKUP(A164,강남본부!$A:$B,2,0),0)</f>
        <v>30028909</v>
      </c>
      <c r="D164" s="14">
        <f>IFERROR(VLOOKUP(A164,강서본부!$A:$B,2,0),0)</f>
        <v>30487500</v>
      </c>
      <c r="E164" s="14">
        <f>IFERROR(VLOOKUP(A164,동부본부!$A:$B,2,0),0)</f>
        <v>45018182</v>
      </c>
      <c r="F164" s="14">
        <f>IFERROR(VLOOKUP(A164,서부본부!$A:$B,2,0),0)</f>
        <v>34773000</v>
      </c>
    </row>
    <row r="165" spans="1:6" hidden="1" outlineLevel="1" x14ac:dyDescent="0.45">
      <c r="A165" s="5" t="s">
        <v>163</v>
      </c>
      <c r="B165" s="17">
        <f>IFERROR(VLOOKUP(sum!A165,강북본부!$A:$B,2,0),0)</f>
        <v>0</v>
      </c>
      <c r="C165" s="17">
        <f>IFERROR(VLOOKUP(A165,강남본부!$A:$B,2,0),0)</f>
        <v>0</v>
      </c>
      <c r="D165" s="17">
        <f>IFERROR(VLOOKUP(A165,강서본부!$A:$B,2,0),0)</f>
        <v>0</v>
      </c>
      <c r="E165" s="17">
        <f>IFERROR(VLOOKUP(A165,동부본부!$A:$B,2,0),0)</f>
        <v>0</v>
      </c>
      <c r="F165" s="17">
        <f>IFERROR(VLOOKUP(A165,서부본부!$A:$B,2,0),0)</f>
        <v>0</v>
      </c>
    </row>
    <row r="166" spans="1:6" hidden="1" outlineLevel="1" x14ac:dyDescent="0.45">
      <c r="A166" s="3" t="s">
        <v>164</v>
      </c>
      <c r="B166" s="15">
        <f>IFERROR(VLOOKUP(sum!A166,강북본부!$A:$B,2,0),0)</f>
        <v>23747316</v>
      </c>
      <c r="C166" s="15">
        <f>IFERROR(VLOOKUP(A166,강남본부!$A:$B,2,0),0)</f>
        <v>30028909</v>
      </c>
      <c r="D166" s="15">
        <f>IFERROR(VLOOKUP(A166,강서본부!$A:$B,2,0),0)</f>
        <v>30487500</v>
      </c>
      <c r="E166" s="15">
        <f>IFERROR(VLOOKUP(A166,동부본부!$A:$B,2,0),0)</f>
        <v>45018182</v>
      </c>
      <c r="F166" s="15">
        <f>IFERROR(VLOOKUP(A166,서부본부!$A:$B,2,0),0)</f>
        <v>34773000</v>
      </c>
    </row>
    <row r="167" spans="1:6" hidden="1" outlineLevel="1" x14ac:dyDescent="0.45">
      <c r="A167" s="3" t="s">
        <v>165</v>
      </c>
      <c r="B167" s="15">
        <f>IFERROR(VLOOKUP(sum!A167,강북본부!$A:$B,2,0),0)</f>
        <v>0</v>
      </c>
      <c r="C167" s="15">
        <f>IFERROR(VLOOKUP(A167,강남본부!$A:$B,2,0),0)</f>
        <v>0</v>
      </c>
      <c r="D167" s="15">
        <f>IFERROR(VLOOKUP(A167,강서본부!$A:$B,2,0),0)</f>
        <v>0</v>
      </c>
      <c r="E167" s="15">
        <f>IFERROR(VLOOKUP(A167,동부본부!$A:$B,2,0),0)</f>
        <v>0</v>
      </c>
      <c r="F167" s="15">
        <f>IFERROR(VLOOKUP(A167,서부본부!$A:$B,2,0),0)</f>
        <v>0</v>
      </c>
    </row>
    <row r="168" spans="1:6" hidden="1" outlineLevel="1" x14ac:dyDescent="0.45">
      <c r="A168" s="3" t="s">
        <v>166</v>
      </c>
      <c r="B168" s="15">
        <f>IFERROR(VLOOKUP(sum!A168,강북본부!$A:$B,2,0),0)</f>
        <v>0</v>
      </c>
      <c r="C168" s="15">
        <f>IFERROR(VLOOKUP(A168,강남본부!$A:$B,2,0),0)</f>
        <v>0</v>
      </c>
      <c r="D168" s="15">
        <f>IFERROR(VLOOKUP(A168,강서본부!$A:$B,2,0),0)</f>
        <v>0</v>
      </c>
      <c r="E168" s="15">
        <f>IFERROR(VLOOKUP(A168,동부본부!$A:$B,2,0),0)</f>
        <v>0</v>
      </c>
      <c r="F168" s="15">
        <f>IFERROR(VLOOKUP(A168,서부본부!$A:$B,2,0),0)</f>
        <v>0</v>
      </c>
    </row>
    <row r="169" spans="1:6" hidden="1" outlineLevel="1" x14ac:dyDescent="0.45">
      <c r="A169" s="3" t="s">
        <v>167</v>
      </c>
      <c r="B169" s="15">
        <f>IFERROR(VLOOKUP(sum!A169,강북본부!$A:$B,2,0),0)</f>
        <v>0</v>
      </c>
      <c r="C169" s="15">
        <f>IFERROR(VLOOKUP(A169,강남본부!$A:$B,2,0),0)</f>
        <v>0</v>
      </c>
      <c r="D169" s="15">
        <f>IFERROR(VLOOKUP(A169,강서본부!$A:$B,2,0),0)</f>
        <v>0</v>
      </c>
      <c r="E169" s="15">
        <f>IFERROR(VLOOKUP(A169,동부본부!$A:$B,2,0),0)</f>
        <v>0</v>
      </c>
      <c r="F169" s="15">
        <f>IFERROR(VLOOKUP(A169,서부본부!$A:$B,2,0),0)</f>
        <v>0</v>
      </c>
    </row>
    <row r="170" spans="1:6" hidden="1" outlineLevel="1" x14ac:dyDescent="0.45">
      <c r="A170" s="5" t="s">
        <v>168</v>
      </c>
      <c r="B170" s="17">
        <f>IFERROR(VLOOKUP(sum!A170,강북본부!$A:$B,2,0),0)</f>
        <v>0</v>
      </c>
      <c r="C170" s="17">
        <f>IFERROR(VLOOKUP(A170,강남본부!$A:$B,2,0),0)</f>
        <v>0</v>
      </c>
      <c r="D170" s="17">
        <f>IFERROR(VLOOKUP(A170,강서본부!$A:$B,2,0),0)</f>
        <v>0</v>
      </c>
      <c r="E170" s="17">
        <f>IFERROR(VLOOKUP(A170,동부본부!$A:$B,2,0),0)</f>
        <v>0</v>
      </c>
      <c r="F170" s="17">
        <f>IFERROR(VLOOKUP(A170,서부본부!$A:$B,2,0),0)</f>
        <v>0</v>
      </c>
    </row>
    <row r="171" spans="1:6" collapsed="1" x14ac:dyDescent="0.45">
      <c r="A171" s="2" t="s">
        <v>169</v>
      </c>
      <c r="B171" s="14">
        <f>IFERROR(VLOOKUP(sum!A171,강북본부!$A:$B,2,0),0)</f>
        <v>1368910</v>
      </c>
      <c r="C171" s="14">
        <f>IFERROR(VLOOKUP(A171,강남본부!$A:$B,2,0),0)</f>
        <v>1174636</v>
      </c>
      <c r="D171" s="14">
        <f>IFERROR(VLOOKUP(A171,강서본부!$A:$B,2,0),0)</f>
        <v>1146364</v>
      </c>
      <c r="E171" s="14">
        <f>IFERROR(VLOOKUP(A171,동부본부!$A:$B,2,0),0)</f>
        <v>2814367</v>
      </c>
      <c r="F171" s="14">
        <f>IFERROR(VLOOKUP(A171,서부본부!$A:$B,2,0),0)</f>
        <v>686954</v>
      </c>
    </row>
    <row r="172" spans="1:6" hidden="1" outlineLevel="1" x14ac:dyDescent="0.45">
      <c r="A172" s="3" t="s">
        <v>170</v>
      </c>
      <c r="B172" s="15">
        <f>IFERROR(VLOOKUP(sum!A172,강북본부!$A:$B,2,0),0)</f>
        <v>99637</v>
      </c>
      <c r="C172" s="15">
        <f>IFERROR(VLOOKUP(A172,강남본부!$A:$B,2,0),0)</f>
        <v>48636</v>
      </c>
      <c r="D172" s="15">
        <f>IFERROR(VLOOKUP(A172,강서본부!$A:$B,2,0),0)</f>
        <v>48546</v>
      </c>
      <c r="E172" s="15">
        <f>IFERROR(VLOOKUP(A172,동부본부!$A:$B,2,0),0)</f>
        <v>363367</v>
      </c>
      <c r="F172" s="15">
        <f>IFERROR(VLOOKUP(A172,서부본부!$A:$B,2,0),0)</f>
        <v>98364</v>
      </c>
    </row>
    <row r="173" spans="1:6" hidden="1" outlineLevel="1" x14ac:dyDescent="0.45">
      <c r="A173" s="3" t="s">
        <v>171</v>
      </c>
      <c r="B173" s="15">
        <f>IFERROR(VLOOKUP(sum!A173,강북본부!$A:$B,2,0),0)</f>
        <v>0</v>
      </c>
      <c r="C173" s="15">
        <f>IFERROR(VLOOKUP(A173,강남본부!$A:$B,2,0),0)</f>
        <v>0</v>
      </c>
      <c r="D173" s="15">
        <f>IFERROR(VLOOKUP(A173,강서본부!$A:$B,2,0),0)</f>
        <v>0</v>
      </c>
      <c r="E173" s="15">
        <f>IFERROR(VLOOKUP(A173,동부본부!$A:$B,2,0),0)</f>
        <v>0</v>
      </c>
      <c r="F173" s="15">
        <f>IFERROR(VLOOKUP(A173,서부본부!$A:$B,2,0),0)</f>
        <v>0</v>
      </c>
    </row>
    <row r="174" spans="1:6" hidden="1" outlineLevel="1" x14ac:dyDescent="0.45">
      <c r="A174" s="3" t="s">
        <v>172</v>
      </c>
      <c r="B174" s="15">
        <f>IFERROR(VLOOKUP(sum!A174,강북본부!$A:$B,2,0),0)</f>
        <v>1269273</v>
      </c>
      <c r="C174" s="15">
        <f>IFERROR(VLOOKUP(A174,강남본부!$A:$B,2,0),0)</f>
        <v>1126000</v>
      </c>
      <c r="D174" s="15">
        <f>IFERROR(VLOOKUP(A174,강서본부!$A:$B,2,0),0)</f>
        <v>1097818</v>
      </c>
      <c r="E174" s="15">
        <f>IFERROR(VLOOKUP(A174,동부본부!$A:$B,2,0),0)</f>
        <v>2451000</v>
      </c>
      <c r="F174" s="15">
        <f>IFERROR(VLOOKUP(A174,서부본부!$A:$B,2,0),0)</f>
        <v>588590</v>
      </c>
    </row>
    <row r="175" spans="1:6" hidden="1" outlineLevel="1" x14ac:dyDescent="0.45">
      <c r="A175" s="3" t="s">
        <v>173</v>
      </c>
      <c r="B175" s="15">
        <f>IFERROR(VLOOKUP(sum!A175,강북본부!$A:$B,2,0),0)</f>
        <v>0</v>
      </c>
      <c r="C175" s="15">
        <f>IFERROR(VLOOKUP(A175,강남본부!$A:$B,2,0),0)</f>
        <v>0</v>
      </c>
      <c r="D175" s="15">
        <f>IFERROR(VLOOKUP(A175,강서본부!$A:$B,2,0),0)</f>
        <v>0</v>
      </c>
      <c r="E175" s="15">
        <f>IFERROR(VLOOKUP(A175,동부본부!$A:$B,2,0),0)</f>
        <v>0</v>
      </c>
      <c r="F175" s="15">
        <f>IFERROR(VLOOKUP(A175,서부본부!$A:$B,2,0),0)</f>
        <v>0</v>
      </c>
    </row>
    <row r="176" spans="1:6" hidden="1" outlineLevel="1" x14ac:dyDescent="0.45">
      <c r="A176" s="3" t="s">
        <v>174</v>
      </c>
      <c r="B176" s="15">
        <f>IFERROR(VLOOKUP(sum!A176,강북본부!$A:$B,2,0),0)</f>
        <v>0</v>
      </c>
      <c r="C176" s="15">
        <f>IFERROR(VLOOKUP(A176,강남본부!$A:$B,2,0),0)</f>
        <v>0</v>
      </c>
      <c r="D176" s="15">
        <f>IFERROR(VLOOKUP(A176,강서본부!$A:$B,2,0),0)</f>
        <v>0</v>
      </c>
      <c r="E176" s="15">
        <f>IFERROR(VLOOKUP(A176,동부본부!$A:$B,2,0),0)</f>
        <v>0</v>
      </c>
      <c r="F176" s="15">
        <f>IFERROR(VLOOKUP(A176,서부본부!$A:$B,2,0),0)</f>
        <v>0</v>
      </c>
    </row>
    <row r="177" spans="1:6" hidden="1" outlineLevel="1" x14ac:dyDescent="0.45">
      <c r="A177" s="3" t="s">
        <v>175</v>
      </c>
      <c r="B177" s="15">
        <f>IFERROR(VLOOKUP(sum!A177,강북본부!$A:$B,2,0),0)</f>
        <v>0</v>
      </c>
      <c r="C177" s="15">
        <f>IFERROR(VLOOKUP(A177,강남본부!$A:$B,2,0),0)</f>
        <v>0</v>
      </c>
      <c r="D177" s="15">
        <f>IFERROR(VLOOKUP(A177,강서본부!$A:$B,2,0),0)</f>
        <v>0</v>
      </c>
      <c r="E177" s="15">
        <f>IFERROR(VLOOKUP(A177,동부본부!$A:$B,2,0),0)</f>
        <v>0</v>
      </c>
      <c r="F177" s="15">
        <f>IFERROR(VLOOKUP(A177,서부본부!$A:$B,2,0),0)</f>
        <v>0</v>
      </c>
    </row>
    <row r="178" spans="1:6" collapsed="1" x14ac:dyDescent="0.45">
      <c r="A178" s="2" t="s">
        <v>176</v>
      </c>
      <c r="B178" s="14">
        <f>IFERROR(VLOOKUP(sum!A178,강북본부!$A:$B,2,0),0)</f>
        <v>0</v>
      </c>
      <c r="C178" s="14">
        <f>IFERROR(VLOOKUP(A178,강남본부!$A:$B,2,0),0)</f>
        <v>0</v>
      </c>
      <c r="D178" s="14">
        <f>IFERROR(VLOOKUP(A178,강서본부!$A:$B,2,0),0)</f>
        <v>0</v>
      </c>
      <c r="E178" s="14">
        <f>IFERROR(VLOOKUP(A178,동부본부!$A:$B,2,0),0)</f>
        <v>0</v>
      </c>
      <c r="F178" s="14">
        <f>IFERROR(VLOOKUP(A178,서부본부!$A:$B,2,0),0)</f>
        <v>0</v>
      </c>
    </row>
    <row r="179" spans="1:6" hidden="1" outlineLevel="1" x14ac:dyDescent="0.45">
      <c r="A179" s="3" t="s">
        <v>177</v>
      </c>
      <c r="B179" s="15">
        <f>IFERROR(VLOOKUP(sum!A179,강북본부!$A:$B,2,0),0)</f>
        <v>0</v>
      </c>
      <c r="C179" s="15">
        <f>IFERROR(VLOOKUP(A179,강남본부!$A:$B,2,0),0)</f>
        <v>0</v>
      </c>
      <c r="D179" s="15">
        <f>IFERROR(VLOOKUP(A179,강서본부!$A:$B,2,0),0)</f>
        <v>0</v>
      </c>
      <c r="E179" s="15">
        <f>IFERROR(VLOOKUP(A179,동부본부!$A:$B,2,0),0)</f>
        <v>0</v>
      </c>
      <c r="F179" s="15">
        <f>IFERROR(VLOOKUP(A179,서부본부!$A:$B,2,0),0)</f>
        <v>0</v>
      </c>
    </row>
    <row r="180" spans="1:6" hidden="1" outlineLevel="1" x14ac:dyDescent="0.45">
      <c r="A180" s="3" t="s">
        <v>178</v>
      </c>
      <c r="B180" s="15">
        <f>IFERROR(VLOOKUP(sum!A180,강북본부!$A:$B,2,0),0)</f>
        <v>0</v>
      </c>
      <c r="C180" s="15">
        <f>IFERROR(VLOOKUP(A180,강남본부!$A:$B,2,0),0)</f>
        <v>0</v>
      </c>
      <c r="D180" s="15">
        <f>IFERROR(VLOOKUP(A180,강서본부!$A:$B,2,0),0)</f>
        <v>0</v>
      </c>
      <c r="E180" s="15">
        <f>IFERROR(VLOOKUP(A180,동부본부!$A:$B,2,0),0)</f>
        <v>0</v>
      </c>
      <c r="F180" s="15">
        <f>IFERROR(VLOOKUP(A180,서부본부!$A:$B,2,0),0)</f>
        <v>0</v>
      </c>
    </row>
    <row r="181" spans="1:6" collapsed="1" x14ac:dyDescent="0.45">
      <c r="A181" s="2" t="s">
        <v>179</v>
      </c>
      <c r="B181" s="14">
        <f>IFERROR(VLOOKUP(sum!A181,강북본부!$A:$B,2,0),0)</f>
        <v>58542375</v>
      </c>
      <c r="C181" s="14">
        <f>IFERROR(VLOOKUP(A181,강남본부!$A:$B,2,0),0)</f>
        <v>53686951</v>
      </c>
      <c r="D181" s="14">
        <f>IFERROR(VLOOKUP(A181,강서본부!$A:$B,2,0),0)</f>
        <v>52414294</v>
      </c>
      <c r="E181" s="14">
        <f>IFERROR(VLOOKUP(A181,동부본부!$A:$B,2,0),0)</f>
        <v>81028237</v>
      </c>
      <c r="F181" s="14">
        <f>IFERROR(VLOOKUP(A181,서부본부!$A:$B,2,0),0)</f>
        <v>67627882</v>
      </c>
    </row>
    <row r="182" spans="1:6" hidden="1" outlineLevel="1" x14ac:dyDescent="0.45">
      <c r="A182" s="3" t="s">
        <v>180</v>
      </c>
      <c r="B182" s="15">
        <f>IFERROR(VLOOKUP(sum!A182,강북본부!$A:$B,2,0),0)</f>
        <v>15372606</v>
      </c>
      <c r="C182" s="15">
        <f>IFERROR(VLOOKUP(A182,강남본부!$A:$B,2,0),0)</f>
        <v>12451604</v>
      </c>
      <c r="D182" s="15">
        <f>IFERROR(VLOOKUP(A182,강서본부!$A:$B,2,0),0)</f>
        <v>14060687</v>
      </c>
      <c r="E182" s="15">
        <f>IFERROR(VLOOKUP(A182,동부본부!$A:$B,2,0),0)</f>
        <v>18009517</v>
      </c>
      <c r="F182" s="15">
        <f>IFERROR(VLOOKUP(A182,서부본부!$A:$B,2,0),0)</f>
        <v>15917547</v>
      </c>
    </row>
    <row r="183" spans="1:6" hidden="1" outlineLevel="1" x14ac:dyDescent="0.45">
      <c r="A183" s="3" t="s">
        <v>181</v>
      </c>
      <c r="B183" s="15">
        <f>IFERROR(VLOOKUP(sum!A183,강북본부!$A:$B,2,0),0)</f>
        <v>0</v>
      </c>
      <c r="C183" s="15">
        <f>IFERROR(VLOOKUP(A183,강남본부!$A:$B,2,0),0)</f>
        <v>0</v>
      </c>
      <c r="D183" s="15">
        <f>IFERROR(VLOOKUP(A183,강서본부!$A:$B,2,0),0)</f>
        <v>0</v>
      </c>
      <c r="E183" s="15">
        <f>IFERROR(VLOOKUP(A183,동부본부!$A:$B,2,0),0)</f>
        <v>0</v>
      </c>
      <c r="F183" s="15">
        <f>IFERROR(VLOOKUP(A183,서부본부!$A:$B,2,0),0)</f>
        <v>0</v>
      </c>
    </row>
    <row r="184" spans="1:6" hidden="1" outlineLevel="1" x14ac:dyDescent="0.45">
      <c r="A184" s="3" t="s">
        <v>182</v>
      </c>
      <c r="B184" s="15">
        <f>IFERROR(VLOOKUP(sum!A184,강북본부!$A:$B,2,0),0)</f>
        <v>2404913</v>
      </c>
      <c r="C184" s="15">
        <f>IFERROR(VLOOKUP(A184,강남본부!$A:$B,2,0),0)</f>
        <v>2166457</v>
      </c>
      <c r="D184" s="15">
        <f>IFERROR(VLOOKUP(A184,강서본부!$A:$B,2,0),0)</f>
        <v>2470712</v>
      </c>
      <c r="E184" s="15">
        <f>IFERROR(VLOOKUP(A184,동부본부!$A:$B,2,0),0)</f>
        <v>2949971</v>
      </c>
      <c r="F184" s="15">
        <f>IFERROR(VLOOKUP(A184,서부본부!$A:$B,2,0),0)</f>
        <v>2735610</v>
      </c>
    </row>
    <row r="185" spans="1:6" hidden="1" outlineLevel="1" x14ac:dyDescent="0.45">
      <c r="A185" s="3" t="s">
        <v>183</v>
      </c>
      <c r="B185" s="15">
        <f>IFERROR(VLOOKUP(sum!A185,강북본부!$A:$B,2,0),0)</f>
        <v>1190419</v>
      </c>
      <c r="C185" s="15">
        <f>IFERROR(VLOOKUP(A185,강남본부!$A:$B,2,0),0)</f>
        <v>878274</v>
      </c>
      <c r="D185" s="15">
        <f>IFERROR(VLOOKUP(A185,강서본부!$A:$B,2,0),0)</f>
        <v>1166799</v>
      </c>
      <c r="E185" s="15">
        <f>IFERROR(VLOOKUP(A185,동부본부!$A:$B,2,0),0)</f>
        <v>1467469</v>
      </c>
      <c r="F185" s="15">
        <f>IFERROR(VLOOKUP(A185,서부본부!$A:$B,2,0),0)</f>
        <v>1336109</v>
      </c>
    </row>
    <row r="186" spans="1:6" hidden="1" outlineLevel="1" x14ac:dyDescent="0.45">
      <c r="A186" s="3" t="s">
        <v>184</v>
      </c>
      <c r="B186" s="15">
        <f>IFERROR(VLOOKUP(sum!A186,강북본부!$A:$B,2,0),0)</f>
        <v>0</v>
      </c>
      <c r="C186" s="15">
        <f>IFERROR(VLOOKUP(A186,강남본부!$A:$B,2,0),0)</f>
        <v>0</v>
      </c>
      <c r="D186" s="15">
        <f>IFERROR(VLOOKUP(A186,강서본부!$A:$B,2,0),0)</f>
        <v>0</v>
      </c>
      <c r="E186" s="15">
        <f>IFERROR(VLOOKUP(A186,동부본부!$A:$B,2,0),0)</f>
        <v>0</v>
      </c>
      <c r="F186" s="15">
        <f>IFERROR(VLOOKUP(A186,서부본부!$A:$B,2,0),0)</f>
        <v>0</v>
      </c>
    </row>
    <row r="187" spans="1:6" hidden="1" outlineLevel="1" x14ac:dyDescent="0.45">
      <c r="A187" s="3" t="s">
        <v>185</v>
      </c>
      <c r="B187" s="15">
        <f>IFERROR(VLOOKUP(sum!A187,강북본부!$A:$B,2,0),0)</f>
        <v>5153596</v>
      </c>
      <c r="C187" s="15">
        <f>IFERROR(VLOOKUP(A187,강남본부!$A:$B,2,0),0)</f>
        <v>1378555</v>
      </c>
      <c r="D187" s="15">
        <f>IFERROR(VLOOKUP(A187,강서본부!$A:$B,2,0),0)</f>
        <v>2131685</v>
      </c>
      <c r="E187" s="15">
        <f>IFERROR(VLOOKUP(A187,동부본부!$A:$B,2,0),0)</f>
        <v>6703426</v>
      </c>
      <c r="F187" s="15">
        <f>IFERROR(VLOOKUP(A187,서부본부!$A:$B,2,0),0)</f>
        <v>2194170</v>
      </c>
    </row>
    <row r="188" spans="1:6" hidden="1" outlineLevel="1" x14ac:dyDescent="0.45">
      <c r="A188" s="3" t="s">
        <v>186</v>
      </c>
      <c r="B188" s="15">
        <f>IFERROR(VLOOKUP(sum!A188,강북본부!$A:$B,2,0),0)</f>
        <v>7508686</v>
      </c>
      <c r="C188" s="15">
        <f>IFERROR(VLOOKUP(A188,강남본부!$A:$B,2,0),0)</f>
        <v>7062029</v>
      </c>
      <c r="D188" s="15">
        <f>IFERROR(VLOOKUP(A188,강서본부!$A:$B,2,0),0)</f>
        <v>2789182</v>
      </c>
      <c r="E188" s="15">
        <f>IFERROR(VLOOKUP(A188,동부본부!$A:$B,2,0),0)</f>
        <v>15079942</v>
      </c>
      <c r="F188" s="15">
        <f>IFERROR(VLOOKUP(A188,서부본부!$A:$B,2,0),0)</f>
        <v>12221582</v>
      </c>
    </row>
    <row r="189" spans="1:6" hidden="1" outlineLevel="1" x14ac:dyDescent="0.45">
      <c r="A189" s="4" t="s">
        <v>187</v>
      </c>
      <c r="B189" s="16">
        <f>IFERROR(VLOOKUP(sum!A189,강북본부!$A:$B,2,0),0)</f>
        <v>26613345</v>
      </c>
      <c r="C189" s="16">
        <f>IFERROR(VLOOKUP(A189,강남본부!$A:$B,2,0),0)</f>
        <v>29460781</v>
      </c>
      <c r="D189" s="16">
        <f>IFERROR(VLOOKUP(A189,강서본부!$A:$B,2,0),0)</f>
        <v>29569408</v>
      </c>
      <c r="E189" s="16">
        <f>IFERROR(VLOOKUP(A189,동부본부!$A:$B,2,0),0)</f>
        <v>36431182</v>
      </c>
      <c r="F189" s="16">
        <f>IFERROR(VLOOKUP(A189,서부본부!$A:$B,2,0),0)</f>
        <v>32839405</v>
      </c>
    </row>
    <row r="190" spans="1:6" hidden="1" outlineLevel="1" x14ac:dyDescent="0.45">
      <c r="A190" s="3" t="s">
        <v>188</v>
      </c>
      <c r="B190" s="15">
        <f>IFERROR(VLOOKUP(sum!A190,강북본부!$A:$B,2,0),0)</f>
        <v>0</v>
      </c>
      <c r="C190" s="15">
        <f>IFERROR(VLOOKUP(A190,강남본부!$A:$B,2,0),0)</f>
        <v>0</v>
      </c>
      <c r="D190" s="15">
        <f>IFERROR(VLOOKUP(A190,강서본부!$A:$B,2,0),0)</f>
        <v>0</v>
      </c>
      <c r="E190" s="15">
        <f>IFERROR(VLOOKUP(A190,동부본부!$A:$B,2,0),0)</f>
        <v>0</v>
      </c>
      <c r="F190" s="15">
        <f>IFERROR(VLOOKUP(A190,서부본부!$A:$B,2,0),0)</f>
        <v>0</v>
      </c>
    </row>
    <row r="191" spans="1:6" hidden="1" outlineLevel="1" x14ac:dyDescent="0.45">
      <c r="A191" s="3" t="s">
        <v>189</v>
      </c>
      <c r="B191" s="15">
        <f>IFERROR(VLOOKUP(sum!A191,강북본부!$A:$B,2,0),0)</f>
        <v>298810</v>
      </c>
      <c r="C191" s="15">
        <f>IFERROR(VLOOKUP(A191,강남본부!$A:$B,2,0),0)</f>
        <v>289251</v>
      </c>
      <c r="D191" s="15">
        <f>IFERROR(VLOOKUP(A191,강서본부!$A:$B,2,0),0)</f>
        <v>225821</v>
      </c>
      <c r="E191" s="15">
        <f>IFERROR(VLOOKUP(A191,동부본부!$A:$B,2,0),0)</f>
        <v>386730</v>
      </c>
      <c r="F191" s="15">
        <f>IFERROR(VLOOKUP(A191,서부본부!$A:$B,2,0),0)</f>
        <v>383459</v>
      </c>
    </row>
    <row r="192" spans="1:6" hidden="1" outlineLevel="1" x14ac:dyDescent="0.45">
      <c r="A192" s="5" t="s">
        <v>190</v>
      </c>
      <c r="B192" s="17">
        <f>IFERROR(VLOOKUP(sum!A192,강북본부!$A:$B,2,0),0)</f>
        <v>0</v>
      </c>
      <c r="C192" s="17">
        <f>IFERROR(VLOOKUP(A192,강남본부!$A:$B,2,0),0)</f>
        <v>0</v>
      </c>
      <c r="D192" s="17">
        <f>IFERROR(VLOOKUP(A192,강서본부!$A:$B,2,0),0)</f>
        <v>0</v>
      </c>
      <c r="E192" s="17">
        <f>IFERROR(VLOOKUP(A192,동부본부!$A:$B,2,0),0)</f>
        <v>0</v>
      </c>
      <c r="F192" s="17">
        <f>IFERROR(VLOOKUP(A192,서부본부!$A:$B,2,0),0)</f>
        <v>0</v>
      </c>
    </row>
    <row r="193" spans="1:6" collapsed="1" x14ac:dyDescent="0.45">
      <c r="A193" s="2" t="s">
        <v>191</v>
      </c>
      <c r="B193" s="14">
        <f>IFERROR(VLOOKUP(sum!A193,강북본부!$A:$B,2,0),0)</f>
        <v>23047536</v>
      </c>
      <c r="C193" s="14">
        <f>IFERROR(VLOOKUP(A193,강남본부!$A:$B,2,0),0)</f>
        <v>14582308</v>
      </c>
      <c r="D193" s="14">
        <f>IFERROR(VLOOKUP(A193,강서본부!$A:$B,2,0),0)</f>
        <v>21491543</v>
      </c>
      <c r="E193" s="14">
        <f>IFERROR(VLOOKUP(A193,동부본부!$A:$B,2,0),0)</f>
        <v>21141665</v>
      </c>
      <c r="F193" s="14">
        <f>IFERROR(VLOOKUP(A193,서부본부!$A:$B,2,0),0)</f>
        <v>18841281</v>
      </c>
    </row>
    <row r="194" spans="1:6" hidden="1" outlineLevel="1" x14ac:dyDescent="0.45">
      <c r="A194" s="3" t="s">
        <v>192</v>
      </c>
      <c r="B194" s="15">
        <f>IFERROR(VLOOKUP(sum!A194,강북본부!$A:$B,2,0),0)</f>
        <v>10616488</v>
      </c>
      <c r="C194" s="15">
        <f>IFERROR(VLOOKUP(A194,강남본부!$A:$B,2,0),0)</f>
        <v>8837430</v>
      </c>
      <c r="D194" s="15">
        <f>IFERROR(VLOOKUP(A194,강서본부!$A:$B,2,0),0)</f>
        <v>11361476</v>
      </c>
      <c r="E194" s="15">
        <f>IFERROR(VLOOKUP(A194,동부본부!$A:$B,2,0),0)</f>
        <v>11432913</v>
      </c>
      <c r="F194" s="15">
        <f>IFERROR(VLOOKUP(A194,서부본부!$A:$B,2,0),0)</f>
        <v>8813278</v>
      </c>
    </row>
    <row r="195" spans="1:6" hidden="1" outlineLevel="1" x14ac:dyDescent="0.45">
      <c r="A195" s="3" t="s">
        <v>193</v>
      </c>
      <c r="B195" s="15">
        <f>IFERROR(VLOOKUP(sum!A195,강북본부!$A:$B,2,0),0)</f>
        <v>9353358</v>
      </c>
      <c r="C195" s="15">
        <f>IFERROR(VLOOKUP(A195,강남본부!$A:$B,2,0),0)</f>
        <v>2859156</v>
      </c>
      <c r="D195" s="15">
        <f>IFERROR(VLOOKUP(A195,강서본부!$A:$B,2,0),0)</f>
        <v>6940266</v>
      </c>
      <c r="E195" s="15">
        <f>IFERROR(VLOOKUP(A195,동부본부!$A:$B,2,0),0)</f>
        <v>5945945</v>
      </c>
      <c r="F195" s="15">
        <f>IFERROR(VLOOKUP(A195,서부본부!$A:$B,2,0),0)</f>
        <v>6618476</v>
      </c>
    </row>
    <row r="196" spans="1:6" hidden="1" outlineLevel="1" x14ac:dyDescent="0.45">
      <c r="A196" s="3" t="s">
        <v>194</v>
      </c>
      <c r="B196" s="15">
        <f>IFERROR(VLOOKUP(sum!A196,강북본부!$A:$B,2,0),0)</f>
        <v>3077690</v>
      </c>
      <c r="C196" s="15">
        <f>IFERROR(VLOOKUP(A196,강남본부!$A:$B,2,0),0)</f>
        <v>2885722</v>
      </c>
      <c r="D196" s="15">
        <f>IFERROR(VLOOKUP(A196,강서본부!$A:$B,2,0),0)</f>
        <v>3189801</v>
      </c>
      <c r="E196" s="15">
        <f>IFERROR(VLOOKUP(A196,동부본부!$A:$B,2,0),0)</f>
        <v>3762807</v>
      </c>
      <c r="F196" s="15">
        <f>IFERROR(VLOOKUP(A196,서부본부!$A:$B,2,0),0)</f>
        <v>3409527</v>
      </c>
    </row>
    <row r="197" spans="1:6" hidden="1" outlineLevel="1" x14ac:dyDescent="0.45">
      <c r="A197" s="3" t="s">
        <v>195</v>
      </c>
      <c r="B197" s="15">
        <f>IFERROR(VLOOKUP(sum!A197,강북본부!$A:$B,2,0),0)</f>
        <v>0</v>
      </c>
      <c r="C197" s="15">
        <f>IFERROR(VLOOKUP(A197,강남본부!$A:$B,2,0),0)</f>
        <v>0</v>
      </c>
      <c r="D197" s="15">
        <f>IFERROR(VLOOKUP(A197,강서본부!$A:$B,2,0),0)</f>
        <v>0</v>
      </c>
      <c r="E197" s="15">
        <f>IFERROR(VLOOKUP(A197,동부본부!$A:$B,2,0),0)</f>
        <v>0</v>
      </c>
      <c r="F197" s="15">
        <f>IFERROR(VLOOKUP(A197,서부본부!$A:$B,2,0),0)</f>
        <v>0</v>
      </c>
    </row>
    <row r="198" spans="1:6" hidden="1" outlineLevel="1" x14ac:dyDescent="0.45">
      <c r="A198" s="4" t="s">
        <v>196</v>
      </c>
      <c r="B198" s="16">
        <f>IFERROR(VLOOKUP(sum!A198,강북본부!$A:$B,2,0),0)</f>
        <v>0</v>
      </c>
      <c r="C198" s="16">
        <f>IFERROR(VLOOKUP(A198,강남본부!$A:$B,2,0),0)</f>
        <v>0</v>
      </c>
      <c r="D198" s="16">
        <f>IFERROR(VLOOKUP(A198,강서본부!$A:$B,2,0),0)</f>
        <v>0</v>
      </c>
      <c r="E198" s="16">
        <f>IFERROR(VLOOKUP(A198,동부본부!$A:$B,2,0),0)</f>
        <v>0</v>
      </c>
      <c r="F198" s="16">
        <f>IFERROR(VLOOKUP(A198,서부본부!$A:$B,2,0),0)</f>
        <v>0</v>
      </c>
    </row>
    <row r="199" spans="1:6" collapsed="1" x14ac:dyDescent="0.45">
      <c r="A199" s="2" t="s">
        <v>197</v>
      </c>
      <c r="B199" s="14">
        <f>IFERROR(VLOOKUP(sum!A199,강북본부!$A:$B,2,0),0)</f>
        <v>20947931</v>
      </c>
      <c r="C199" s="14">
        <f>IFERROR(VLOOKUP(A199,강남본부!$A:$B,2,0),0)</f>
        <v>28973024</v>
      </c>
      <c r="D199" s="14">
        <f>IFERROR(VLOOKUP(A199,강서본부!$A:$B,2,0),0)</f>
        <v>29250467</v>
      </c>
      <c r="E199" s="14">
        <f>IFERROR(VLOOKUP(A199,동부본부!$A:$B,2,0),0)</f>
        <v>18638840</v>
      </c>
      <c r="F199" s="14">
        <f>IFERROR(VLOOKUP(A199,서부본부!$A:$B,2,0),0)</f>
        <v>30796671</v>
      </c>
    </row>
    <row r="200" spans="1:6" hidden="1" outlineLevel="1" x14ac:dyDescent="0.45">
      <c r="A200" s="3" t="s">
        <v>198</v>
      </c>
      <c r="B200" s="15">
        <f>IFERROR(VLOOKUP(sum!A200,강북본부!$A:$B,2,0),0)</f>
        <v>0</v>
      </c>
      <c r="C200" s="15">
        <f>IFERROR(VLOOKUP(A200,강남본부!$A:$B,2,0),0)</f>
        <v>0</v>
      </c>
      <c r="D200" s="15">
        <f>IFERROR(VLOOKUP(A200,강서본부!$A:$B,2,0),0)</f>
        <v>0</v>
      </c>
      <c r="E200" s="15">
        <f>IFERROR(VLOOKUP(A200,동부본부!$A:$B,2,0),0)</f>
        <v>0</v>
      </c>
      <c r="F200" s="15">
        <f>IFERROR(VLOOKUP(A200,서부본부!$A:$B,2,0),0)</f>
        <v>0</v>
      </c>
    </row>
    <row r="201" spans="1:6" hidden="1" outlineLevel="1" x14ac:dyDescent="0.45">
      <c r="A201" s="3" t="s">
        <v>199</v>
      </c>
      <c r="B201" s="15">
        <f>IFERROR(VLOOKUP(sum!A201,강북본부!$A:$B,2,0),0)</f>
        <v>3864000</v>
      </c>
      <c r="C201" s="15">
        <f>IFERROR(VLOOKUP(A201,강남본부!$A:$B,2,0),0)</f>
        <v>64207</v>
      </c>
      <c r="D201" s="15">
        <f>IFERROR(VLOOKUP(A201,강서본부!$A:$B,2,0),0)</f>
        <v>0</v>
      </c>
      <c r="E201" s="15">
        <f>IFERROR(VLOOKUP(A201,동부본부!$A:$B,2,0),0)</f>
        <v>0</v>
      </c>
      <c r="F201" s="15">
        <f>IFERROR(VLOOKUP(A201,서부본부!$A:$B,2,0),0)</f>
        <v>125972</v>
      </c>
    </row>
    <row r="202" spans="1:6" hidden="1" outlineLevel="1" x14ac:dyDescent="0.45">
      <c r="A202" s="3" t="s">
        <v>200</v>
      </c>
      <c r="B202" s="15">
        <f>IFERROR(VLOOKUP(sum!A202,강북본부!$A:$B,2,0),0)</f>
        <v>0</v>
      </c>
      <c r="C202" s="15">
        <f>IFERROR(VLOOKUP(A202,강남본부!$A:$B,2,0),0)</f>
        <v>0</v>
      </c>
      <c r="D202" s="15">
        <f>IFERROR(VLOOKUP(A202,강서본부!$A:$B,2,0),0)</f>
        <v>0</v>
      </c>
      <c r="E202" s="15">
        <f>IFERROR(VLOOKUP(A202,동부본부!$A:$B,2,0),0)</f>
        <v>649452</v>
      </c>
      <c r="F202" s="15">
        <f>IFERROR(VLOOKUP(A202,서부본부!$A:$B,2,0),0)</f>
        <v>0</v>
      </c>
    </row>
    <row r="203" spans="1:6" hidden="1" outlineLevel="1" x14ac:dyDescent="0.45">
      <c r="A203" s="3" t="s">
        <v>201</v>
      </c>
      <c r="B203" s="15">
        <f>IFERROR(VLOOKUP(sum!A203,강북본부!$A:$B,2,0),0)</f>
        <v>0</v>
      </c>
      <c r="C203" s="15">
        <f>IFERROR(VLOOKUP(A203,강남본부!$A:$B,2,0),0)</f>
        <v>0</v>
      </c>
      <c r="D203" s="15">
        <f>IFERROR(VLOOKUP(A203,강서본부!$A:$B,2,0),0)</f>
        <v>0</v>
      </c>
      <c r="E203" s="15">
        <f>IFERROR(VLOOKUP(A203,동부본부!$A:$B,2,0),0)</f>
        <v>0</v>
      </c>
      <c r="F203" s="15">
        <f>IFERROR(VLOOKUP(A203,서부본부!$A:$B,2,0),0)</f>
        <v>0</v>
      </c>
    </row>
    <row r="204" spans="1:6" hidden="1" outlineLevel="1" x14ac:dyDescent="0.45">
      <c r="A204" s="3" t="s">
        <v>202</v>
      </c>
      <c r="B204" s="15">
        <f>IFERROR(VLOOKUP(sum!A204,강북본부!$A:$B,2,0),0)</f>
        <v>6146482</v>
      </c>
      <c r="C204" s="15">
        <f>IFERROR(VLOOKUP(A204,강남본부!$A:$B,2,0),0)</f>
        <v>4640403</v>
      </c>
      <c r="D204" s="15">
        <f>IFERROR(VLOOKUP(A204,강서본부!$A:$B,2,0),0)</f>
        <v>5900440</v>
      </c>
      <c r="E204" s="15">
        <f>IFERROR(VLOOKUP(A204,동부본부!$A:$B,2,0),0)</f>
        <v>5979232</v>
      </c>
      <c r="F204" s="15">
        <f>IFERROR(VLOOKUP(A204,서부본부!$A:$B,2,0),0)</f>
        <v>5138807</v>
      </c>
    </row>
    <row r="205" spans="1:6" hidden="1" outlineLevel="1" x14ac:dyDescent="0.45">
      <c r="A205" s="3" t="s">
        <v>203</v>
      </c>
      <c r="B205" s="15">
        <f>IFERROR(VLOOKUP(sum!A205,강북본부!$A:$B,2,0),0)</f>
        <v>0</v>
      </c>
      <c r="C205" s="15">
        <f>IFERROR(VLOOKUP(A205,강남본부!$A:$B,2,0),0)</f>
        <v>65000</v>
      </c>
      <c r="D205" s="15">
        <f>IFERROR(VLOOKUP(A205,강서본부!$A:$B,2,0),0)</f>
        <v>0</v>
      </c>
      <c r="E205" s="15">
        <f>IFERROR(VLOOKUP(A205,동부본부!$A:$B,2,0),0)</f>
        <v>3000</v>
      </c>
      <c r="F205" s="15">
        <f>IFERROR(VLOOKUP(A205,서부본부!$A:$B,2,0),0)</f>
        <v>0</v>
      </c>
    </row>
    <row r="206" spans="1:6" hidden="1" outlineLevel="1" x14ac:dyDescent="0.45">
      <c r="A206" s="3" t="s">
        <v>204</v>
      </c>
      <c r="B206" s="15">
        <f>IFERROR(VLOOKUP(sum!A206,강북본부!$A:$B,2,0),0)</f>
        <v>1860000</v>
      </c>
      <c r="C206" s="15">
        <f>IFERROR(VLOOKUP(A206,강남본부!$A:$B,2,0),0)</f>
        <v>5595000</v>
      </c>
      <c r="D206" s="15">
        <f>IFERROR(VLOOKUP(A206,강서본부!$A:$B,2,0),0)</f>
        <v>8800000</v>
      </c>
      <c r="E206" s="15">
        <f>IFERROR(VLOOKUP(A206,동부본부!$A:$B,2,0),0)</f>
        <v>970000</v>
      </c>
      <c r="F206" s="15">
        <f>IFERROR(VLOOKUP(A206,서부본부!$A:$B,2,0),0)</f>
        <v>11685000</v>
      </c>
    </row>
    <row r="207" spans="1:6" hidden="1" outlineLevel="1" x14ac:dyDescent="0.45">
      <c r="A207" s="3" t="s">
        <v>205</v>
      </c>
      <c r="B207" s="15">
        <f>IFERROR(VLOOKUP(sum!A207,강북본부!$A:$B,2,0),0)</f>
        <v>4521649</v>
      </c>
      <c r="C207" s="15">
        <f>IFERROR(VLOOKUP(A207,강남본부!$A:$B,2,0),0)</f>
        <v>13795714</v>
      </c>
      <c r="D207" s="15">
        <f>IFERROR(VLOOKUP(A207,강서본부!$A:$B,2,0),0)</f>
        <v>9495927</v>
      </c>
      <c r="E207" s="15">
        <f>IFERROR(VLOOKUP(A207,동부본부!$A:$B,2,0),0)</f>
        <v>5840856</v>
      </c>
      <c r="F207" s="15">
        <f>IFERROR(VLOOKUP(A207,서부본부!$A:$B,2,0),0)</f>
        <v>9323292</v>
      </c>
    </row>
    <row r="208" spans="1:6" hidden="1" outlineLevel="1" x14ac:dyDescent="0.45">
      <c r="A208" s="3" t="s">
        <v>206</v>
      </c>
      <c r="B208" s="15">
        <f>IFERROR(VLOOKUP(sum!A208,강북본부!$A:$B,2,0),0)</f>
        <v>0</v>
      </c>
      <c r="C208" s="15">
        <f>IFERROR(VLOOKUP(A208,강남본부!$A:$B,2,0),0)</f>
        <v>0</v>
      </c>
      <c r="D208" s="15">
        <f>IFERROR(VLOOKUP(A208,강서본부!$A:$B,2,0),0)</f>
        <v>0</v>
      </c>
      <c r="E208" s="15">
        <f>IFERROR(VLOOKUP(A208,동부본부!$A:$B,2,0),0)</f>
        <v>0</v>
      </c>
      <c r="F208" s="15">
        <f>IFERROR(VLOOKUP(A208,서부본부!$A:$B,2,0),0)</f>
        <v>0</v>
      </c>
    </row>
    <row r="209" spans="1:6" hidden="1" outlineLevel="1" x14ac:dyDescent="0.45">
      <c r="A209" s="3" t="s">
        <v>207</v>
      </c>
      <c r="B209" s="15">
        <f>IFERROR(VLOOKUP(sum!A209,강북본부!$A:$B,2,0),0)</f>
        <v>4555800</v>
      </c>
      <c r="C209" s="15">
        <f>IFERROR(VLOOKUP(A209,강남본부!$A:$B,2,0),0)</f>
        <v>4812700</v>
      </c>
      <c r="D209" s="15">
        <f>IFERROR(VLOOKUP(A209,강서본부!$A:$B,2,0),0)</f>
        <v>5054100</v>
      </c>
      <c r="E209" s="15">
        <f>IFERROR(VLOOKUP(A209,동부본부!$A:$B,2,0),0)</f>
        <v>5196300</v>
      </c>
      <c r="F209" s="15">
        <f>IFERROR(VLOOKUP(A209,서부본부!$A:$B,2,0),0)</f>
        <v>4523600</v>
      </c>
    </row>
    <row r="210" spans="1:6" hidden="1" outlineLevel="1" x14ac:dyDescent="0.45">
      <c r="A210" s="4" t="s">
        <v>208</v>
      </c>
      <c r="B210" s="16">
        <f>IFERROR(VLOOKUP(sum!A210,강북본부!$A:$B,2,0),0)</f>
        <v>0</v>
      </c>
      <c r="C210" s="16">
        <f>IFERROR(VLOOKUP(A210,강남본부!$A:$B,2,0),0)</f>
        <v>0</v>
      </c>
      <c r="D210" s="16">
        <f>IFERROR(VLOOKUP(A210,강서본부!$A:$B,2,0),0)</f>
        <v>0</v>
      </c>
      <c r="E210" s="16">
        <f>IFERROR(VLOOKUP(A210,동부본부!$A:$B,2,0),0)</f>
        <v>0</v>
      </c>
      <c r="F210" s="16">
        <f>IFERROR(VLOOKUP(A210,서부본부!$A:$B,2,0),0)</f>
        <v>0</v>
      </c>
    </row>
    <row r="211" spans="1:6" hidden="1" outlineLevel="1" x14ac:dyDescent="0.45">
      <c r="A211" s="3" t="s">
        <v>209</v>
      </c>
      <c r="B211" s="15">
        <f>IFERROR(VLOOKUP(sum!A211,강북본부!$A:$B,2,0),0)</f>
        <v>0</v>
      </c>
      <c r="C211" s="15">
        <f>IFERROR(VLOOKUP(A211,강남본부!$A:$B,2,0),0)</f>
        <v>0</v>
      </c>
      <c r="D211" s="15">
        <f>IFERROR(VLOOKUP(A211,강서본부!$A:$B,2,0),0)</f>
        <v>0</v>
      </c>
      <c r="E211" s="15">
        <f>IFERROR(VLOOKUP(A211,동부본부!$A:$B,2,0),0)</f>
        <v>0</v>
      </c>
      <c r="F211" s="15">
        <f>IFERROR(VLOOKUP(A211,서부본부!$A:$B,2,0),0)</f>
        <v>0</v>
      </c>
    </row>
    <row r="212" spans="1:6" hidden="1" outlineLevel="1" x14ac:dyDescent="0.45">
      <c r="A212" s="4" t="s">
        <v>210</v>
      </c>
      <c r="B212" s="16">
        <f>IFERROR(VLOOKUP(sum!A212,강북본부!$A:$B,2,0),0)</f>
        <v>0</v>
      </c>
      <c r="C212" s="16">
        <f>IFERROR(VLOOKUP(A212,강남본부!$A:$B,2,0),0)</f>
        <v>0</v>
      </c>
      <c r="D212" s="16">
        <f>IFERROR(VLOOKUP(A212,강서본부!$A:$B,2,0),0)</f>
        <v>0</v>
      </c>
      <c r="E212" s="16">
        <f>IFERROR(VLOOKUP(A212,동부본부!$A:$B,2,0),0)</f>
        <v>0</v>
      </c>
      <c r="F212" s="16">
        <f>IFERROR(VLOOKUP(A212,서부본부!$A:$B,2,0),0)</f>
        <v>0</v>
      </c>
    </row>
    <row r="213" spans="1:6" hidden="1" outlineLevel="1" x14ac:dyDescent="0.45">
      <c r="A213" s="3" t="s">
        <v>211</v>
      </c>
      <c r="B213" s="15">
        <f>IFERROR(VLOOKUP(sum!A213,강북본부!$A:$B,2,0),0)</f>
        <v>0</v>
      </c>
      <c r="C213" s="15">
        <f>IFERROR(VLOOKUP(A213,강남본부!$A:$B,2,0),0)</f>
        <v>0</v>
      </c>
      <c r="D213" s="15">
        <f>IFERROR(VLOOKUP(A213,강서본부!$A:$B,2,0),0)</f>
        <v>0</v>
      </c>
      <c r="E213" s="15">
        <f>IFERROR(VLOOKUP(A213,동부본부!$A:$B,2,0),0)</f>
        <v>0</v>
      </c>
      <c r="F213" s="15">
        <f>IFERROR(VLOOKUP(A213,서부본부!$A:$B,2,0),0)</f>
        <v>0</v>
      </c>
    </row>
    <row r="214" spans="1:6" hidden="1" outlineLevel="1" x14ac:dyDescent="0.45">
      <c r="A214" s="3" t="s">
        <v>212</v>
      </c>
      <c r="B214" s="15">
        <f>IFERROR(VLOOKUP(sum!A214,강북본부!$A:$B,2,0),0)</f>
        <v>0</v>
      </c>
      <c r="C214" s="15">
        <f>IFERROR(VLOOKUP(A214,강남본부!$A:$B,2,0),0)</f>
        <v>0</v>
      </c>
      <c r="D214" s="15">
        <f>IFERROR(VLOOKUP(A214,강서본부!$A:$B,2,0),0)</f>
        <v>0</v>
      </c>
      <c r="E214" s="15">
        <f>IFERROR(VLOOKUP(A214,동부본부!$A:$B,2,0),0)</f>
        <v>0</v>
      </c>
      <c r="F214" s="15">
        <f>IFERROR(VLOOKUP(A214,서부본부!$A:$B,2,0),0)</f>
        <v>0</v>
      </c>
    </row>
    <row r="215" spans="1:6" collapsed="1" x14ac:dyDescent="0.45">
      <c r="A215" s="2" t="s">
        <v>213</v>
      </c>
      <c r="B215" s="14">
        <f>IFERROR(VLOOKUP(sum!A215,강북본부!$A:$B,2,0),0)</f>
        <v>0</v>
      </c>
      <c r="C215" s="14">
        <f>IFERROR(VLOOKUP(A215,강남본부!$A:$B,2,0),0)</f>
        <v>0</v>
      </c>
      <c r="D215" s="14">
        <f>IFERROR(VLOOKUP(A215,강서본부!$A:$B,2,0),0)</f>
        <v>0</v>
      </c>
      <c r="E215" s="14">
        <f>IFERROR(VLOOKUP(A215,동부본부!$A:$B,2,0),0)</f>
        <v>0</v>
      </c>
      <c r="F215" s="14">
        <f>IFERROR(VLOOKUP(A215,서부본부!$A:$B,2,0),0)</f>
        <v>0</v>
      </c>
    </row>
    <row r="216" spans="1:6" hidden="1" outlineLevel="1" x14ac:dyDescent="0.45">
      <c r="A216" s="3" t="s">
        <v>214</v>
      </c>
      <c r="B216" s="15">
        <f>IFERROR(VLOOKUP(sum!A216,강북본부!$A:$B,2,0),0)</f>
        <v>0</v>
      </c>
      <c r="C216" s="15">
        <f>IFERROR(VLOOKUP(A216,강남본부!$A:$B,2,0),0)</f>
        <v>0</v>
      </c>
      <c r="D216" s="15">
        <f>IFERROR(VLOOKUP(A216,강서본부!$A:$B,2,0),0)</f>
        <v>0</v>
      </c>
      <c r="E216" s="15">
        <f>IFERROR(VLOOKUP(A216,동부본부!$A:$B,2,0),0)</f>
        <v>0</v>
      </c>
      <c r="F216" s="15">
        <f>IFERROR(VLOOKUP(A216,서부본부!$A:$B,2,0),0)</f>
        <v>0</v>
      </c>
    </row>
    <row r="217" spans="1:6" collapsed="1" x14ac:dyDescent="0.45">
      <c r="A217" s="2" t="s">
        <v>215</v>
      </c>
      <c r="B217" s="14">
        <f>IFERROR(VLOOKUP(sum!A217,강북본부!$A:$B,2,0),0)</f>
        <v>156472865</v>
      </c>
      <c r="C217" s="14">
        <f>IFERROR(VLOOKUP(A217,강남본부!$A:$B,2,0),0)</f>
        <v>206264511</v>
      </c>
      <c r="D217" s="14">
        <f>IFERROR(VLOOKUP(A217,강서본부!$A:$B,2,0),0)</f>
        <v>195827338</v>
      </c>
      <c r="E217" s="14">
        <f>IFERROR(VLOOKUP(A217,동부본부!$A:$B,2,0),0)</f>
        <v>310858305</v>
      </c>
      <c r="F217" s="14">
        <f>IFERROR(VLOOKUP(A217,서부본부!$A:$B,2,0),0)</f>
        <v>299397930</v>
      </c>
    </row>
    <row r="218" spans="1:6" hidden="1" outlineLevel="1" x14ac:dyDescent="0.45">
      <c r="A218" s="2" t="s">
        <v>216</v>
      </c>
      <c r="B218" s="14">
        <f>IFERROR(VLOOKUP(sum!A218,강북본부!$A:$B,2,0),0)</f>
        <v>27860620</v>
      </c>
      <c r="C218" s="14">
        <f>IFERROR(VLOOKUP(A218,강남본부!$A:$B,2,0),0)</f>
        <v>85558420</v>
      </c>
      <c r="D218" s="14">
        <f>IFERROR(VLOOKUP(A218,강서본부!$A:$B,2,0),0)</f>
        <v>57534170</v>
      </c>
      <c r="E218" s="14">
        <f>IFERROR(VLOOKUP(A218,동부본부!$A:$B,2,0),0)</f>
        <v>110351770</v>
      </c>
      <c r="F218" s="14">
        <f>IFERROR(VLOOKUP(A218,서부본부!$A:$B,2,0),0)</f>
        <v>64075810</v>
      </c>
    </row>
    <row r="219" spans="1:6" hidden="1" outlineLevel="1" x14ac:dyDescent="0.45">
      <c r="A219" s="3" t="s">
        <v>217</v>
      </c>
      <c r="B219" s="15">
        <f>IFERROR(VLOOKUP(sum!A219,강북본부!$A:$B,2,0),0)</f>
        <v>0</v>
      </c>
      <c r="C219" s="15">
        <f>IFERROR(VLOOKUP(A219,강남본부!$A:$B,2,0),0)</f>
        <v>0</v>
      </c>
      <c r="D219" s="15">
        <f>IFERROR(VLOOKUP(A219,강서본부!$A:$B,2,0),0)</f>
        <v>0</v>
      </c>
      <c r="E219" s="15">
        <f>IFERROR(VLOOKUP(A219,동부본부!$A:$B,2,0),0)</f>
        <v>0</v>
      </c>
      <c r="F219" s="15">
        <f>IFERROR(VLOOKUP(A219,서부본부!$A:$B,2,0),0)</f>
        <v>0</v>
      </c>
    </row>
    <row r="220" spans="1:6" hidden="1" outlineLevel="1" x14ac:dyDescent="0.45">
      <c r="A220" s="3" t="s">
        <v>218</v>
      </c>
      <c r="B220" s="15">
        <f>IFERROR(VLOOKUP(sum!A220,강북본부!$A:$B,2,0),0)</f>
        <v>200000</v>
      </c>
      <c r="C220" s="15">
        <f>IFERROR(VLOOKUP(A220,강남본부!$A:$B,2,0),0)</f>
        <v>360000</v>
      </c>
      <c r="D220" s="15">
        <f>IFERROR(VLOOKUP(A220,강서본부!$A:$B,2,0),0)</f>
        <v>156100</v>
      </c>
      <c r="E220" s="15">
        <f>IFERROR(VLOOKUP(A220,동부본부!$A:$B,2,0),0)</f>
        <v>685030</v>
      </c>
      <c r="F220" s="15">
        <f>IFERROR(VLOOKUP(A220,서부본부!$A:$B,2,0),0)</f>
        <v>0</v>
      </c>
    </row>
    <row r="221" spans="1:6" hidden="1" outlineLevel="1" x14ac:dyDescent="0.45">
      <c r="A221" s="3" t="s">
        <v>219</v>
      </c>
      <c r="B221" s="15">
        <f>IFERROR(VLOOKUP(sum!A221,강북본부!$A:$B,2,0),0)</f>
        <v>8991984</v>
      </c>
      <c r="C221" s="15">
        <f>IFERROR(VLOOKUP(A221,강남본부!$A:$B,2,0),0)</f>
        <v>4278723</v>
      </c>
      <c r="D221" s="15">
        <f>IFERROR(VLOOKUP(A221,강서본부!$A:$B,2,0),0)</f>
        <v>7874448</v>
      </c>
      <c r="E221" s="15">
        <f>IFERROR(VLOOKUP(A221,동부본부!$A:$B,2,0),0)</f>
        <v>2218547</v>
      </c>
      <c r="F221" s="15">
        <f>IFERROR(VLOOKUP(A221,서부본부!$A:$B,2,0),0)</f>
        <v>7363039</v>
      </c>
    </row>
    <row r="222" spans="1:6" hidden="1" outlineLevel="1" x14ac:dyDescent="0.45">
      <c r="A222" s="2" t="s">
        <v>220</v>
      </c>
      <c r="B222" s="14">
        <f>IFERROR(VLOOKUP(sum!A222,강북본부!$A:$B,2,0),0)</f>
        <v>79850100</v>
      </c>
      <c r="C222" s="14">
        <f>IFERROR(VLOOKUP(A222,강남본부!$A:$B,2,0),0)</f>
        <v>88102900</v>
      </c>
      <c r="D222" s="14">
        <f>IFERROR(VLOOKUP(A222,강서본부!$A:$B,2,0),0)</f>
        <v>104696400</v>
      </c>
      <c r="E222" s="14">
        <f>IFERROR(VLOOKUP(A222,동부본부!$A:$B,2,0),0)</f>
        <v>129431100</v>
      </c>
      <c r="F222" s="14">
        <f>IFERROR(VLOOKUP(A222,서부본부!$A:$B,2,0),0)</f>
        <v>104269800</v>
      </c>
    </row>
    <row r="223" spans="1:6" hidden="1" outlineLevel="1" x14ac:dyDescent="0.45">
      <c r="A223" s="3" t="s">
        <v>221</v>
      </c>
      <c r="B223" s="15">
        <f>IFERROR(VLOOKUP(sum!A223,강북본부!$A:$B,2,0),0)</f>
        <v>1792727</v>
      </c>
      <c r="C223" s="15">
        <f>IFERROR(VLOOKUP(A223,강남본부!$A:$B,2,0),0)</f>
        <v>1709091</v>
      </c>
      <c r="D223" s="15">
        <f>IFERROR(VLOOKUP(A223,강서본부!$A:$B,2,0),0)</f>
        <v>0</v>
      </c>
      <c r="E223" s="15">
        <f>IFERROR(VLOOKUP(A223,동부본부!$A:$B,2,0),0)</f>
        <v>3270072</v>
      </c>
      <c r="F223" s="15">
        <f>IFERROR(VLOOKUP(A223,서부본부!$A:$B,2,0),0)</f>
        <v>0</v>
      </c>
    </row>
    <row r="224" spans="1:6" hidden="1" outlineLevel="1" x14ac:dyDescent="0.45">
      <c r="A224" s="3" t="s">
        <v>222</v>
      </c>
      <c r="B224" s="15">
        <f>IFERROR(VLOOKUP(sum!A224,강북본부!$A:$B,2,0),0)</f>
        <v>37777434</v>
      </c>
      <c r="C224" s="15">
        <f>IFERROR(VLOOKUP(A224,강남본부!$A:$B,2,0),0)</f>
        <v>26105377</v>
      </c>
      <c r="D224" s="15">
        <f>IFERROR(VLOOKUP(A224,강서본부!$A:$B,2,0),0)</f>
        <v>25566220</v>
      </c>
      <c r="E224" s="15">
        <f>IFERROR(VLOOKUP(A224,동부본부!$A:$B,2,0),0)</f>
        <v>62283604</v>
      </c>
      <c r="F224" s="15">
        <f>IFERROR(VLOOKUP(A224,서부본부!$A:$B,2,0),0)</f>
        <v>123689281</v>
      </c>
    </row>
    <row r="225" spans="1:6" hidden="1" outlineLevel="1" x14ac:dyDescent="0.45">
      <c r="A225" s="3" t="s">
        <v>223</v>
      </c>
      <c r="B225" s="15">
        <f>IFERROR(VLOOKUP(sum!A225,강북본부!$A:$B,2,0),0)</f>
        <v>0</v>
      </c>
      <c r="C225" s="15">
        <f>IFERROR(VLOOKUP(A225,강남본부!$A:$B,2,0),0)</f>
        <v>0</v>
      </c>
      <c r="D225" s="15">
        <f>IFERROR(VLOOKUP(A225,강서본부!$A:$B,2,0),0)</f>
        <v>0</v>
      </c>
      <c r="E225" s="15">
        <f>IFERROR(VLOOKUP(A225,동부본부!$A:$B,2,0),0)</f>
        <v>0</v>
      </c>
      <c r="F225" s="15">
        <f>IFERROR(VLOOKUP(A225,서부본부!$A:$B,2,0),0)</f>
        <v>0</v>
      </c>
    </row>
    <row r="226" spans="1:6" hidden="1" outlineLevel="1" x14ac:dyDescent="0.45">
      <c r="A226" s="3" t="s">
        <v>224</v>
      </c>
      <c r="B226" s="15">
        <f>IFERROR(VLOOKUP(sum!A226,강북본부!$A:$B,2,0),0)</f>
        <v>0</v>
      </c>
      <c r="C226" s="15">
        <f>IFERROR(VLOOKUP(A226,강남본부!$A:$B,2,0),0)</f>
        <v>150000</v>
      </c>
      <c r="D226" s="15">
        <f>IFERROR(VLOOKUP(A226,강서본부!$A:$B,2,0),0)</f>
        <v>0</v>
      </c>
      <c r="E226" s="15">
        <f>IFERROR(VLOOKUP(A226,동부본부!$A:$B,2,0),0)</f>
        <v>2618182</v>
      </c>
      <c r="F226" s="15">
        <f>IFERROR(VLOOKUP(A226,서부본부!$A:$B,2,0),0)</f>
        <v>0</v>
      </c>
    </row>
    <row r="227" spans="1:6" hidden="1" outlineLevel="1" x14ac:dyDescent="0.45">
      <c r="A227" s="2" t="s">
        <v>225</v>
      </c>
      <c r="B227" s="14">
        <f>IFERROR(VLOOKUP(sum!A227,강북본부!$A:$B,2,0),0)</f>
        <v>0</v>
      </c>
      <c r="C227" s="14">
        <f>IFERROR(VLOOKUP(A227,강남본부!$A:$B,2,0),0)</f>
        <v>0</v>
      </c>
      <c r="D227" s="14">
        <f>IFERROR(VLOOKUP(A227,강서본부!$A:$B,2,0),0)</f>
        <v>0</v>
      </c>
      <c r="E227" s="14">
        <f>IFERROR(VLOOKUP(A227,동부본부!$A:$B,2,0),0)</f>
        <v>0</v>
      </c>
      <c r="F227" s="14">
        <f>IFERROR(VLOOKUP(A227,서부본부!$A:$B,2,0),0)</f>
        <v>0</v>
      </c>
    </row>
    <row r="228" spans="1:6" collapsed="1" x14ac:dyDescent="0.45">
      <c r="A228" s="2" t="s">
        <v>226</v>
      </c>
      <c r="B228" s="14">
        <f>IFERROR(VLOOKUP(sum!A228,강북본부!$A:$B,2,0),0)</f>
        <v>0</v>
      </c>
      <c r="C228" s="14">
        <f>IFERROR(VLOOKUP(A228,강남본부!$A:$B,2,0),0)</f>
        <v>0</v>
      </c>
      <c r="D228" s="14">
        <f>IFERROR(VLOOKUP(A228,강서본부!$A:$B,2,0),0)</f>
        <v>0</v>
      </c>
      <c r="E228" s="14">
        <f>IFERROR(VLOOKUP(A228,동부본부!$A:$B,2,0),0)</f>
        <v>0</v>
      </c>
      <c r="F228" s="14">
        <f>IFERROR(VLOOKUP(A228,서부본부!$A:$B,2,0),0)</f>
        <v>0</v>
      </c>
    </row>
    <row r="229" spans="1:6" x14ac:dyDescent="0.45">
      <c r="A229" s="2" t="s">
        <v>227</v>
      </c>
      <c r="B229" s="14">
        <f>IFERROR(VLOOKUP(sum!A229,강북본부!$A:$B,2,0),0)</f>
        <v>10340280</v>
      </c>
      <c r="C229" s="14">
        <f>IFERROR(VLOOKUP(A229,강남본부!$A:$B,2,0),0)</f>
        <v>16810900</v>
      </c>
      <c r="D229" s="14">
        <f>IFERROR(VLOOKUP(A229,강서본부!$A:$B,2,0),0)</f>
        <v>29767510</v>
      </c>
      <c r="E229" s="14">
        <f>IFERROR(VLOOKUP(A229,동부본부!$A:$B,2,0),0)</f>
        <v>5184484</v>
      </c>
      <c r="F229" s="14">
        <f>IFERROR(VLOOKUP(A229,서부본부!$A:$B,2,0),0)</f>
        <v>28240631</v>
      </c>
    </row>
    <row r="230" spans="1:6" hidden="1" outlineLevel="1" x14ac:dyDescent="0.45">
      <c r="A230" s="3" t="s">
        <v>228</v>
      </c>
      <c r="B230" s="15">
        <f>IFERROR(VLOOKUP(sum!A230,강북본부!$A:$B,2,0),0)</f>
        <v>0</v>
      </c>
      <c r="C230" s="15">
        <f>IFERROR(VLOOKUP(A230,강남본부!$A:$B,2,0),0)</f>
        <v>0</v>
      </c>
      <c r="D230" s="15">
        <f>IFERROR(VLOOKUP(A230,강서본부!$A:$B,2,0),0)</f>
        <v>0</v>
      </c>
      <c r="E230" s="15">
        <f>IFERROR(VLOOKUP(A230,동부본부!$A:$B,2,0),0)</f>
        <v>0</v>
      </c>
      <c r="F230" s="15">
        <f>IFERROR(VLOOKUP(A230,서부본부!$A:$B,2,0),0)</f>
        <v>0</v>
      </c>
    </row>
    <row r="231" spans="1:6" hidden="1" outlineLevel="1" x14ac:dyDescent="0.45">
      <c r="A231" s="3" t="s">
        <v>229</v>
      </c>
      <c r="B231" s="15">
        <f>IFERROR(VLOOKUP(sum!A231,강북본부!$A:$B,2,0),0)</f>
        <v>0</v>
      </c>
      <c r="C231" s="15">
        <f>IFERROR(VLOOKUP(A231,강남본부!$A:$B,2,0),0)</f>
        <v>0</v>
      </c>
      <c r="D231" s="15">
        <f>IFERROR(VLOOKUP(A231,강서본부!$A:$B,2,0),0)</f>
        <v>0</v>
      </c>
      <c r="E231" s="15">
        <f>IFERROR(VLOOKUP(A231,동부본부!$A:$B,2,0),0)</f>
        <v>0</v>
      </c>
      <c r="F231" s="15">
        <f>IFERROR(VLOOKUP(A231,서부본부!$A:$B,2,0),0)</f>
        <v>0</v>
      </c>
    </row>
    <row r="232" spans="1:6" hidden="1" outlineLevel="1" x14ac:dyDescent="0.45">
      <c r="A232" s="3" t="s">
        <v>230</v>
      </c>
      <c r="B232" s="15">
        <f>IFERROR(VLOOKUP(sum!A232,강북본부!$A:$B,2,0),0)</f>
        <v>0</v>
      </c>
      <c r="C232" s="15">
        <f>IFERROR(VLOOKUP(A232,강남본부!$A:$B,2,0),0)</f>
        <v>0</v>
      </c>
      <c r="D232" s="15">
        <f>IFERROR(VLOOKUP(A232,강서본부!$A:$B,2,0),0)</f>
        <v>0</v>
      </c>
      <c r="E232" s="15">
        <f>IFERROR(VLOOKUP(A232,동부본부!$A:$B,2,0),0)</f>
        <v>0</v>
      </c>
      <c r="F232" s="15">
        <f>IFERROR(VLOOKUP(A232,서부본부!$A:$B,2,0),0)</f>
        <v>0</v>
      </c>
    </row>
    <row r="233" spans="1:6" hidden="1" outlineLevel="1" x14ac:dyDescent="0.45">
      <c r="A233" s="3" t="s">
        <v>231</v>
      </c>
      <c r="B233" s="15">
        <f>IFERROR(VLOOKUP(sum!A233,강북본부!$A:$B,2,0),0)</f>
        <v>0</v>
      </c>
      <c r="C233" s="15">
        <f>IFERROR(VLOOKUP(A233,강남본부!$A:$B,2,0),0)</f>
        <v>0</v>
      </c>
      <c r="D233" s="15">
        <f>IFERROR(VLOOKUP(A233,강서본부!$A:$B,2,0),0)</f>
        <v>0</v>
      </c>
      <c r="E233" s="15">
        <f>IFERROR(VLOOKUP(A233,동부본부!$A:$B,2,0),0)</f>
        <v>0</v>
      </c>
      <c r="F233" s="15">
        <f>IFERROR(VLOOKUP(A233,서부본부!$A:$B,2,0),0)</f>
        <v>0</v>
      </c>
    </row>
    <row r="234" spans="1:6" hidden="1" outlineLevel="1" x14ac:dyDescent="0.45">
      <c r="A234" s="2" t="s">
        <v>232</v>
      </c>
      <c r="B234" s="14">
        <f>IFERROR(VLOOKUP(sum!A234,강북본부!$A:$B,2,0),0)</f>
        <v>0</v>
      </c>
      <c r="C234" s="14">
        <f>IFERROR(VLOOKUP(A234,강남본부!$A:$B,2,0),0)</f>
        <v>-136364</v>
      </c>
      <c r="D234" s="14">
        <f>IFERROR(VLOOKUP(A234,강서본부!$A:$B,2,0),0)</f>
        <v>0</v>
      </c>
      <c r="E234" s="14">
        <f>IFERROR(VLOOKUP(A234,동부본부!$A:$B,2,0),0)</f>
        <v>-3152788</v>
      </c>
      <c r="F234" s="14">
        <f>IFERROR(VLOOKUP(A234,서부본부!$A:$B,2,0),0)</f>
        <v>-893405</v>
      </c>
    </row>
    <row r="235" spans="1:6" hidden="1" outlineLevel="1" x14ac:dyDescent="0.45">
      <c r="A235" s="3" t="s">
        <v>233</v>
      </c>
      <c r="B235" s="15">
        <f>IFERROR(VLOOKUP(sum!A235,강북본부!$A:$B,2,0),0)</f>
        <v>0</v>
      </c>
      <c r="C235" s="15">
        <f>IFERROR(VLOOKUP(A235,강남본부!$A:$B,2,0),0)</f>
        <v>0</v>
      </c>
      <c r="D235" s="15">
        <f>IFERROR(VLOOKUP(A235,강서본부!$A:$B,2,0),0)</f>
        <v>0</v>
      </c>
      <c r="E235" s="15">
        <f>IFERROR(VLOOKUP(A235,동부본부!$A:$B,2,0),0)</f>
        <v>0</v>
      </c>
      <c r="F235" s="15">
        <f>IFERROR(VLOOKUP(A235,서부본부!$A:$B,2,0),0)</f>
        <v>0</v>
      </c>
    </row>
    <row r="236" spans="1:6" hidden="1" outlineLevel="1" x14ac:dyDescent="0.45">
      <c r="A236" s="3" t="s">
        <v>234</v>
      </c>
      <c r="B236" s="15">
        <f>IFERROR(VLOOKUP(sum!A236,강북본부!$A:$B,2,0),0)</f>
        <v>0</v>
      </c>
      <c r="C236" s="15">
        <f>IFERROR(VLOOKUP(A236,강남본부!$A:$B,2,0),0)</f>
        <v>0</v>
      </c>
      <c r="D236" s="15">
        <f>IFERROR(VLOOKUP(A236,강서본부!$A:$B,2,0),0)</f>
        <v>0</v>
      </c>
      <c r="E236" s="15">
        <f>IFERROR(VLOOKUP(A236,동부본부!$A:$B,2,0),0)</f>
        <v>0</v>
      </c>
      <c r="F236" s="15">
        <f>IFERROR(VLOOKUP(A236,서부본부!$A:$B,2,0),0)</f>
        <v>0</v>
      </c>
    </row>
    <row r="237" spans="1:6" hidden="1" outlineLevel="1" x14ac:dyDescent="0.45">
      <c r="A237" s="2" t="s">
        <v>235</v>
      </c>
      <c r="B237" s="14">
        <f>IFERROR(VLOOKUP(sum!A237,강북본부!$A:$B,2,0),0)</f>
        <v>10340280</v>
      </c>
      <c r="C237" s="14">
        <f>IFERROR(VLOOKUP(A237,강남본부!$A:$B,2,0),0)</f>
        <v>16947264</v>
      </c>
      <c r="D237" s="14">
        <f>IFERROR(VLOOKUP(A237,강서본부!$A:$B,2,0),0)</f>
        <v>29767510</v>
      </c>
      <c r="E237" s="14">
        <f>IFERROR(VLOOKUP(A237,동부본부!$A:$B,2,0),0)</f>
        <v>8337272</v>
      </c>
      <c r="F237" s="14">
        <f>IFERROR(VLOOKUP(A237,서부본부!$A:$B,2,0),0)</f>
        <v>29134036</v>
      </c>
    </row>
    <row r="238" spans="1:6" collapsed="1" x14ac:dyDescent="0.45">
      <c r="A238" s="2" t="s">
        <v>236</v>
      </c>
      <c r="B238" s="14">
        <f>IFERROR(VLOOKUP(sum!A238,강북본부!$A:$B,2,0),0)</f>
        <v>0</v>
      </c>
      <c r="C238" s="14">
        <f>IFERROR(VLOOKUP(A238,강남본부!$A:$B,2,0),0)</f>
        <v>0</v>
      </c>
      <c r="D238" s="14">
        <f>IFERROR(VLOOKUP(A238,강서본부!$A:$B,2,0),0)</f>
        <v>0</v>
      </c>
      <c r="E238" s="14">
        <f>IFERROR(VLOOKUP(A238,동부본부!$A:$B,2,0),0)</f>
        <v>0</v>
      </c>
      <c r="F238" s="14">
        <f>IFERROR(VLOOKUP(A238,서부본부!$A:$B,2,0),0)</f>
        <v>0</v>
      </c>
    </row>
    <row r="239" spans="1:6" x14ac:dyDescent="0.45">
      <c r="A239" s="51" t="s">
        <v>237</v>
      </c>
      <c r="B239" s="52">
        <f>IFERROR(VLOOKUP(sum!A239,강북본부!$A:$B,2,0),0)</f>
        <v>427617243</v>
      </c>
      <c r="C239" s="52">
        <f>IFERROR(VLOOKUP(A239,강남본부!$A:$B,2,0),0)</f>
        <v>370610043</v>
      </c>
      <c r="D239" s="52">
        <f>IFERROR(VLOOKUP(A239,강서본부!$A:$B,2,0),0)</f>
        <v>797926655</v>
      </c>
      <c r="E239" s="52">
        <f>IFERROR(VLOOKUP(A239,동부본부!$A:$B,2,0),0)</f>
        <v>941911794</v>
      </c>
      <c r="F239" s="52">
        <f>IFERROR(VLOOKUP(A239,서부본부!$A:$B,2,0),0)</f>
        <v>755501863</v>
      </c>
    </row>
  </sheetData>
  <mergeCells count="6">
    <mergeCell ref="F1:F2"/>
    <mergeCell ref="A1:A2"/>
    <mergeCell ref="B1:B2"/>
    <mergeCell ref="C1:C2"/>
    <mergeCell ref="D1:D2"/>
    <mergeCell ref="E1:E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33A1-0F31-4763-A321-4F10D3A1B8F0}">
  <dimension ref="A1:H124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238</v>
      </c>
      <c r="D1" s="9" t="s">
        <v>239</v>
      </c>
      <c r="E1" s="9" t="s">
        <v>240</v>
      </c>
      <c r="F1" s="9" t="s">
        <v>241</v>
      </c>
      <c r="G1" s="9" t="s">
        <v>242</v>
      </c>
      <c r="H1" s="9" t="s">
        <v>243</v>
      </c>
    </row>
    <row r="2" spans="1:8" ht="12.5" customHeight="1" x14ac:dyDescent="0.45">
      <c r="A2" s="76" t="s">
        <v>0</v>
      </c>
      <c r="B2" s="76" t="s">
        <v>250</v>
      </c>
      <c r="C2" s="9" t="s">
        <v>244</v>
      </c>
      <c r="D2" s="9" t="s">
        <v>245</v>
      </c>
      <c r="E2" s="9" t="s">
        <v>246</v>
      </c>
      <c r="F2" s="9" t="s">
        <v>247</v>
      </c>
      <c r="G2" s="9" t="s">
        <v>248</v>
      </c>
      <c r="H2" s="9" t="s">
        <v>249</v>
      </c>
    </row>
    <row r="3" spans="1:8" ht="12.5" customHeight="1" x14ac:dyDescent="0.45">
      <c r="A3" s="10" t="s">
        <v>251</v>
      </c>
      <c r="B3" s="11">
        <v>427617243</v>
      </c>
      <c r="C3" s="11">
        <v>-97240965</v>
      </c>
      <c r="D3" s="11">
        <v>178151427</v>
      </c>
      <c r="E3" s="11">
        <v>227019906</v>
      </c>
      <c r="F3" s="11">
        <v>82679322</v>
      </c>
      <c r="G3" s="11">
        <v>66345993</v>
      </c>
      <c r="H3" s="11">
        <v>-29338440</v>
      </c>
    </row>
    <row r="4" spans="1:8" ht="12.5" customHeight="1" x14ac:dyDescent="0.45">
      <c r="A4" s="10" t="s">
        <v>1</v>
      </c>
      <c r="B4" s="11">
        <v>5159064832</v>
      </c>
      <c r="C4" s="11">
        <v>0</v>
      </c>
      <c r="D4" s="11">
        <v>2132386788</v>
      </c>
      <c r="E4" s="11">
        <v>2183577751</v>
      </c>
      <c r="F4" s="11">
        <v>475378719</v>
      </c>
      <c r="G4" s="11">
        <v>149727557</v>
      </c>
      <c r="H4" s="11">
        <v>217994017</v>
      </c>
    </row>
    <row r="5" spans="1:8" ht="12.5" customHeight="1" x14ac:dyDescent="0.45">
      <c r="A5" s="10" t="s">
        <v>2</v>
      </c>
      <c r="B5" s="11">
        <v>2122121592</v>
      </c>
      <c r="C5" s="11">
        <v>0</v>
      </c>
      <c r="D5" s="11">
        <v>1067896866</v>
      </c>
      <c r="E5" s="11">
        <v>1032388845</v>
      </c>
      <c r="F5" s="11">
        <v>159406</v>
      </c>
      <c r="G5" s="11">
        <v>73111</v>
      </c>
      <c r="H5" s="11">
        <v>21603364</v>
      </c>
    </row>
    <row r="6" spans="1:8" ht="12.5" customHeight="1" x14ac:dyDescent="0.45">
      <c r="A6" s="10" t="s">
        <v>3</v>
      </c>
      <c r="B6" s="11">
        <v>2058090</v>
      </c>
      <c r="C6" s="11">
        <v>0</v>
      </c>
      <c r="D6" s="11">
        <v>955454</v>
      </c>
      <c r="E6" s="11">
        <v>1102636</v>
      </c>
      <c r="F6" s="11">
        <v>0</v>
      </c>
      <c r="G6" s="11">
        <v>0</v>
      </c>
      <c r="H6" s="11">
        <v>0</v>
      </c>
    </row>
    <row r="7" spans="1:8" ht="12.5" customHeight="1" x14ac:dyDescent="0.45">
      <c r="A7" s="10" t="s">
        <v>6</v>
      </c>
      <c r="B7" s="11">
        <v>2024158954</v>
      </c>
      <c r="C7" s="11">
        <v>0</v>
      </c>
      <c r="D7" s="11">
        <v>1018572682</v>
      </c>
      <c r="E7" s="11">
        <v>983750391</v>
      </c>
      <c r="F7" s="11">
        <v>159406</v>
      </c>
      <c r="G7" s="11">
        <v>73111</v>
      </c>
      <c r="H7" s="11">
        <v>21603364</v>
      </c>
    </row>
    <row r="8" spans="1:8" ht="12.5" customHeight="1" x14ac:dyDescent="0.45">
      <c r="A8" s="10" t="s">
        <v>7</v>
      </c>
      <c r="B8" s="11">
        <v>42497188</v>
      </c>
      <c r="C8" s="11">
        <v>0</v>
      </c>
      <c r="D8" s="11">
        <v>22032790</v>
      </c>
      <c r="E8" s="11">
        <v>20464398</v>
      </c>
      <c r="F8" s="11">
        <v>0</v>
      </c>
      <c r="G8" s="11">
        <v>0</v>
      </c>
      <c r="H8" s="11">
        <v>0</v>
      </c>
    </row>
    <row r="9" spans="1:8" ht="12.5" customHeight="1" x14ac:dyDescent="0.45">
      <c r="A9" s="10" t="s">
        <v>9</v>
      </c>
      <c r="B9" s="11">
        <v>53407360</v>
      </c>
      <c r="C9" s="11">
        <v>0</v>
      </c>
      <c r="D9" s="11">
        <v>26335940</v>
      </c>
      <c r="E9" s="11">
        <v>27071420</v>
      </c>
      <c r="F9" s="11">
        <v>0</v>
      </c>
      <c r="G9" s="11">
        <v>0</v>
      </c>
      <c r="H9" s="11">
        <v>0</v>
      </c>
    </row>
    <row r="10" spans="1:8" ht="12.5" customHeight="1" x14ac:dyDescent="0.45">
      <c r="A10" s="10" t="s">
        <v>11</v>
      </c>
      <c r="B10" s="11">
        <v>3036943240</v>
      </c>
      <c r="C10" s="11">
        <v>0</v>
      </c>
      <c r="D10" s="11">
        <v>1064489922</v>
      </c>
      <c r="E10" s="11">
        <v>1151188906</v>
      </c>
      <c r="F10" s="11">
        <v>475219313</v>
      </c>
      <c r="G10" s="11">
        <v>149654446</v>
      </c>
      <c r="H10" s="11">
        <v>196390653</v>
      </c>
    </row>
    <row r="11" spans="1:8" ht="12.5" customHeight="1" x14ac:dyDescent="0.45">
      <c r="A11" s="10" t="s">
        <v>12</v>
      </c>
      <c r="B11" s="11">
        <v>1431919308</v>
      </c>
      <c r="C11" s="11">
        <v>0</v>
      </c>
      <c r="D11" s="11">
        <v>661987902</v>
      </c>
      <c r="E11" s="11">
        <v>748550294</v>
      </c>
      <c r="F11" s="11">
        <v>-66274</v>
      </c>
      <c r="G11" s="11">
        <v>109</v>
      </c>
      <c r="H11" s="11">
        <v>21447277</v>
      </c>
    </row>
    <row r="12" spans="1:8" ht="12.5" customHeight="1" x14ac:dyDescent="0.45">
      <c r="A12" s="10" t="s">
        <v>13</v>
      </c>
      <c r="B12" s="11">
        <v>24354091</v>
      </c>
      <c r="C12" s="11">
        <v>0</v>
      </c>
      <c r="D12" s="11">
        <v>0</v>
      </c>
      <c r="E12" s="11">
        <v>909091</v>
      </c>
      <c r="F12" s="11">
        <v>0</v>
      </c>
      <c r="G12" s="11">
        <v>0</v>
      </c>
      <c r="H12" s="11">
        <v>23445000</v>
      </c>
    </row>
    <row r="13" spans="1:8" ht="12.5" customHeight="1" x14ac:dyDescent="0.45">
      <c r="A13" s="10" t="s">
        <v>14</v>
      </c>
      <c r="B13" s="11">
        <v>572057194</v>
      </c>
      <c r="C13" s="11">
        <v>0</v>
      </c>
      <c r="D13" s="11">
        <v>216898827</v>
      </c>
      <c r="E13" s="11">
        <v>202521852</v>
      </c>
      <c r="F13" s="11">
        <v>113653872</v>
      </c>
      <c r="G13" s="11">
        <v>16382364</v>
      </c>
      <c r="H13" s="11">
        <v>22600279</v>
      </c>
    </row>
    <row r="14" spans="1:8" ht="12.5" customHeight="1" x14ac:dyDescent="0.45">
      <c r="A14" s="10" t="s">
        <v>15</v>
      </c>
      <c r="B14" s="11">
        <v>17593641</v>
      </c>
      <c r="C14" s="11">
        <v>0</v>
      </c>
      <c r="D14" s="11">
        <v>8418910</v>
      </c>
      <c r="E14" s="11">
        <v>7843231</v>
      </c>
      <c r="F14" s="11">
        <v>1330000</v>
      </c>
      <c r="G14" s="11">
        <v>1500</v>
      </c>
      <c r="H14" s="11">
        <v>0</v>
      </c>
    </row>
    <row r="15" spans="1:8" ht="12.5" customHeight="1" x14ac:dyDescent="0.45">
      <c r="A15" s="10" t="s">
        <v>16</v>
      </c>
      <c r="B15" s="11">
        <v>363810441</v>
      </c>
      <c r="C15" s="11">
        <v>0</v>
      </c>
      <c r="D15" s="11">
        <v>114457004</v>
      </c>
      <c r="E15" s="11">
        <v>120455340</v>
      </c>
      <c r="F15" s="11">
        <v>0</v>
      </c>
      <c r="G15" s="11">
        <v>0</v>
      </c>
      <c r="H15" s="11">
        <v>128898097</v>
      </c>
    </row>
    <row r="16" spans="1:8" ht="12.5" customHeight="1" x14ac:dyDescent="0.45">
      <c r="A16" s="10" t="s">
        <v>20</v>
      </c>
      <c r="B16" s="11">
        <v>493572188</v>
      </c>
      <c r="C16" s="11">
        <v>0</v>
      </c>
      <c r="D16" s="11">
        <v>0</v>
      </c>
      <c r="E16" s="11">
        <v>0</v>
      </c>
      <c r="F16" s="11">
        <v>360301715</v>
      </c>
      <c r="G16" s="11">
        <v>133270473</v>
      </c>
      <c r="H16" s="11">
        <v>0</v>
      </c>
    </row>
    <row r="17" spans="1:8" ht="12.5" customHeight="1" x14ac:dyDescent="0.45">
      <c r="A17" s="10" t="s">
        <v>21</v>
      </c>
      <c r="B17" s="11">
        <v>133636377</v>
      </c>
      <c r="C17" s="11">
        <v>0</v>
      </c>
      <c r="D17" s="11">
        <v>62727279</v>
      </c>
      <c r="E17" s="11">
        <v>70909098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2480714531</v>
      </c>
      <c r="C18" s="11">
        <v>0</v>
      </c>
      <c r="D18" s="11">
        <v>1243215452</v>
      </c>
      <c r="E18" s="11">
        <v>1198825988</v>
      </c>
      <c r="F18" s="11">
        <v>0</v>
      </c>
      <c r="G18" s="11">
        <v>0</v>
      </c>
      <c r="H18" s="11">
        <v>38673091</v>
      </c>
    </row>
    <row r="19" spans="1:8" ht="12.5" customHeight="1" x14ac:dyDescent="0.45">
      <c r="A19" s="10" t="s">
        <v>24</v>
      </c>
      <c r="B19" s="11">
        <v>2480714531</v>
      </c>
      <c r="C19" s="11">
        <v>0</v>
      </c>
      <c r="D19" s="11">
        <v>1243215452</v>
      </c>
      <c r="E19" s="11">
        <v>1198825988</v>
      </c>
      <c r="F19" s="11">
        <v>0</v>
      </c>
      <c r="G19" s="11">
        <v>0</v>
      </c>
      <c r="H19" s="11">
        <v>38673091</v>
      </c>
    </row>
    <row r="20" spans="1:8" ht="12.5" customHeight="1" x14ac:dyDescent="0.45">
      <c r="A20" s="10" t="s">
        <v>25</v>
      </c>
      <c r="B20" s="11">
        <v>2678350301</v>
      </c>
      <c r="C20" s="11">
        <v>0</v>
      </c>
      <c r="D20" s="11">
        <v>889171336</v>
      </c>
      <c r="E20" s="11">
        <v>984751763</v>
      </c>
      <c r="F20" s="11">
        <v>475378719</v>
      </c>
      <c r="G20" s="11">
        <v>149727557</v>
      </c>
      <c r="H20" s="11">
        <v>179320926</v>
      </c>
    </row>
    <row r="21" spans="1:8" ht="12.5" customHeight="1" x14ac:dyDescent="0.45">
      <c r="A21" s="10" t="s">
        <v>26</v>
      </c>
      <c r="B21" s="11">
        <v>2250733058</v>
      </c>
      <c r="C21" s="11">
        <v>97240965</v>
      </c>
      <c r="D21" s="11">
        <v>711019909</v>
      </c>
      <c r="E21" s="11">
        <v>757731857</v>
      </c>
      <c r="F21" s="11">
        <v>392699397</v>
      </c>
      <c r="G21" s="11">
        <v>83381564</v>
      </c>
      <c r="H21" s="11">
        <v>208659366</v>
      </c>
    </row>
    <row r="22" spans="1:8" ht="12.5" customHeight="1" x14ac:dyDescent="0.45">
      <c r="A22" s="10" t="s">
        <v>28</v>
      </c>
      <c r="B22" s="11">
        <v>985725040</v>
      </c>
      <c r="C22" s="11">
        <v>33875500</v>
      </c>
      <c r="D22" s="11">
        <v>333157450</v>
      </c>
      <c r="E22" s="11">
        <v>343903170</v>
      </c>
      <c r="F22" s="11">
        <v>181499340</v>
      </c>
      <c r="G22" s="11">
        <v>38295910</v>
      </c>
      <c r="H22" s="11">
        <v>54993670</v>
      </c>
    </row>
    <row r="23" spans="1:8" ht="12.5" customHeight="1" x14ac:dyDescent="0.45">
      <c r="A23" s="10" t="s">
        <v>29</v>
      </c>
      <c r="B23" s="11">
        <v>66880060</v>
      </c>
      <c r="C23" s="11">
        <v>22499690</v>
      </c>
      <c r="D23" s="11">
        <v>16099410</v>
      </c>
      <c r="E23" s="11">
        <v>7825760</v>
      </c>
      <c r="F23" s="11">
        <v>9735060</v>
      </c>
      <c r="G23" s="11">
        <v>0</v>
      </c>
      <c r="H23" s="11">
        <v>10720140</v>
      </c>
    </row>
    <row r="24" spans="1:8" ht="12.5" customHeight="1" x14ac:dyDescent="0.45">
      <c r="A24" s="10" t="s">
        <v>30</v>
      </c>
      <c r="B24" s="11">
        <v>12457690</v>
      </c>
      <c r="C24" s="11">
        <v>4278120</v>
      </c>
      <c r="D24" s="11">
        <v>2962270</v>
      </c>
      <c r="E24" s="11">
        <v>1399420</v>
      </c>
      <c r="F24" s="11">
        <v>1824690</v>
      </c>
      <c r="G24" s="11">
        <v>0</v>
      </c>
      <c r="H24" s="11">
        <v>1993190</v>
      </c>
    </row>
    <row r="25" spans="1:8" ht="12.5" customHeight="1" x14ac:dyDescent="0.45">
      <c r="A25" s="10" t="s">
        <v>31</v>
      </c>
      <c r="B25" s="11">
        <v>4200000</v>
      </c>
      <c r="C25" s="11">
        <v>2100000</v>
      </c>
      <c r="D25" s="11">
        <v>700000</v>
      </c>
      <c r="E25" s="11">
        <v>0</v>
      </c>
      <c r="F25" s="11">
        <v>700000</v>
      </c>
      <c r="G25" s="11">
        <v>0</v>
      </c>
      <c r="H25" s="11">
        <v>700000</v>
      </c>
    </row>
    <row r="26" spans="1:8" ht="12.5" customHeight="1" x14ac:dyDescent="0.45">
      <c r="A26" s="10" t="s">
        <v>33</v>
      </c>
      <c r="B26" s="11">
        <v>1169320</v>
      </c>
      <c r="C26" s="11">
        <v>0</v>
      </c>
      <c r="D26" s="11">
        <v>545450</v>
      </c>
      <c r="E26" s="11">
        <v>313990</v>
      </c>
      <c r="F26" s="11">
        <v>309880</v>
      </c>
      <c r="G26" s="11">
        <v>0</v>
      </c>
      <c r="H26" s="11">
        <v>0</v>
      </c>
    </row>
    <row r="27" spans="1:8" ht="12.5" customHeight="1" x14ac:dyDescent="0.45">
      <c r="A27" s="10" t="s">
        <v>34</v>
      </c>
      <c r="B27" s="11">
        <v>1697340</v>
      </c>
      <c r="C27" s="11">
        <v>1074180</v>
      </c>
      <c r="D27" s="11">
        <v>0</v>
      </c>
      <c r="E27" s="11">
        <v>480000</v>
      </c>
      <c r="F27" s="11">
        <v>0</v>
      </c>
      <c r="G27" s="11">
        <v>0</v>
      </c>
      <c r="H27" s="11">
        <v>143160</v>
      </c>
    </row>
    <row r="28" spans="1:8" ht="12.5" customHeight="1" x14ac:dyDescent="0.45">
      <c r="A28" s="10" t="s">
        <v>41</v>
      </c>
      <c r="B28" s="11">
        <v>2245000</v>
      </c>
      <c r="C28" s="11">
        <v>620000</v>
      </c>
      <c r="D28" s="11">
        <v>620000</v>
      </c>
      <c r="E28" s="11">
        <v>385000</v>
      </c>
      <c r="F28" s="11">
        <v>310000</v>
      </c>
      <c r="G28" s="11">
        <v>0</v>
      </c>
      <c r="H28" s="11">
        <v>310000</v>
      </c>
    </row>
    <row r="29" spans="1:8" ht="12.5" customHeight="1" x14ac:dyDescent="0.45">
      <c r="A29" s="10" t="s">
        <v>46</v>
      </c>
      <c r="B29" s="11">
        <v>692889430</v>
      </c>
      <c r="C29" s="11">
        <v>2698030</v>
      </c>
      <c r="D29" s="11">
        <v>241112150</v>
      </c>
      <c r="E29" s="11">
        <v>260339480</v>
      </c>
      <c r="F29" s="11">
        <v>131478390</v>
      </c>
      <c r="G29" s="11">
        <v>30632190</v>
      </c>
      <c r="H29" s="11">
        <v>26629190</v>
      </c>
    </row>
    <row r="30" spans="1:8" ht="12.5" customHeight="1" x14ac:dyDescent="0.45">
      <c r="A30" s="10" t="s">
        <v>47</v>
      </c>
      <c r="B30" s="11">
        <v>119241560</v>
      </c>
      <c r="C30" s="11">
        <v>450480</v>
      </c>
      <c r="D30" s="11">
        <v>42118270</v>
      </c>
      <c r="E30" s="11">
        <v>45099930</v>
      </c>
      <c r="F30" s="11">
        <v>22484890</v>
      </c>
      <c r="G30" s="11">
        <v>4585170</v>
      </c>
      <c r="H30" s="11">
        <v>4502820</v>
      </c>
    </row>
    <row r="31" spans="1:8" ht="12.5" customHeight="1" x14ac:dyDescent="0.45">
      <c r="A31" s="10" t="s">
        <v>48</v>
      </c>
      <c r="B31" s="11">
        <v>22138730</v>
      </c>
      <c r="C31" s="11">
        <v>0</v>
      </c>
      <c r="D31" s="11">
        <v>8254840</v>
      </c>
      <c r="E31" s="11">
        <v>9090340</v>
      </c>
      <c r="F31" s="11">
        <v>3800000</v>
      </c>
      <c r="G31" s="11">
        <v>993550</v>
      </c>
      <c r="H31" s="11">
        <v>0</v>
      </c>
    </row>
    <row r="32" spans="1:8" ht="12.5" customHeight="1" x14ac:dyDescent="0.45">
      <c r="A32" s="10" t="s">
        <v>49</v>
      </c>
      <c r="B32" s="11">
        <v>46505000</v>
      </c>
      <c r="C32" s="11">
        <v>155000</v>
      </c>
      <c r="D32" s="11">
        <v>16240000</v>
      </c>
      <c r="E32" s="11">
        <v>17690000</v>
      </c>
      <c r="F32" s="11">
        <v>8630000</v>
      </c>
      <c r="G32" s="11">
        <v>2085000</v>
      </c>
      <c r="H32" s="11">
        <v>1705000</v>
      </c>
    </row>
    <row r="33" spans="1:8" ht="12.5" customHeight="1" x14ac:dyDescent="0.45">
      <c r="A33" s="10" t="s">
        <v>52</v>
      </c>
      <c r="B33" s="11">
        <v>3472120</v>
      </c>
      <c r="C33" s="11">
        <v>0</v>
      </c>
      <c r="D33" s="11">
        <v>3472120</v>
      </c>
      <c r="E33" s="11">
        <v>0</v>
      </c>
      <c r="F33" s="11">
        <v>0</v>
      </c>
      <c r="G33" s="11">
        <v>0</v>
      </c>
      <c r="H33" s="11">
        <v>0</v>
      </c>
    </row>
    <row r="34" spans="1:8" ht="12.5" customHeight="1" x14ac:dyDescent="0.45">
      <c r="A34" s="10" t="s">
        <v>53</v>
      </c>
      <c r="B34" s="11">
        <v>8024880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8024880</v>
      </c>
    </row>
    <row r="35" spans="1:8" ht="12.5" customHeight="1" x14ac:dyDescent="0.45">
      <c r="A35" s="10" t="s">
        <v>54</v>
      </c>
      <c r="B35" s="11">
        <v>265290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265290</v>
      </c>
    </row>
    <row r="36" spans="1:8" ht="12.5" customHeight="1" x14ac:dyDescent="0.45">
      <c r="A36" s="10" t="s">
        <v>56</v>
      </c>
      <c r="B36" s="11">
        <v>2638620</v>
      </c>
      <c r="C36" s="11">
        <v>0</v>
      </c>
      <c r="D36" s="11">
        <v>1032940</v>
      </c>
      <c r="E36" s="11">
        <v>879250</v>
      </c>
      <c r="F36" s="11">
        <v>726430</v>
      </c>
      <c r="G36" s="11">
        <v>0</v>
      </c>
      <c r="H36" s="11">
        <v>0</v>
      </c>
    </row>
    <row r="37" spans="1:8" ht="12.5" customHeight="1" x14ac:dyDescent="0.45">
      <c r="A37" s="10" t="s">
        <v>58</v>
      </c>
      <c r="B37" s="11">
        <v>1900000</v>
      </c>
      <c r="C37" s="11">
        <v>0</v>
      </c>
      <c r="D37" s="11">
        <v>0</v>
      </c>
      <c r="E37" s="11">
        <v>400000</v>
      </c>
      <c r="F37" s="11">
        <v>1500000</v>
      </c>
      <c r="G37" s="11">
        <v>0</v>
      </c>
      <c r="H37" s="11">
        <v>0</v>
      </c>
    </row>
    <row r="38" spans="1:8" ht="12.5" customHeight="1" x14ac:dyDescent="0.45">
      <c r="A38" s="10" t="s">
        <v>61</v>
      </c>
      <c r="B38" s="11">
        <v>388371160</v>
      </c>
      <c r="C38" s="11">
        <v>26371150</v>
      </c>
      <c r="D38" s="11">
        <v>123980730</v>
      </c>
      <c r="E38" s="11">
        <v>142055630</v>
      </c>
      <c r="F38" s="11">
        <v>63182740</v>
      </c>
      <c r="G38" s="11">
        <v>2942400</v>
      </c>
      <c r="H38" s="11">
        <v>29838510</v>
      </c>
    </row>
    <row r="39" spans="1:8" ht="12.5" customHeight="1" x14ac:dyDescent="0.45">
      <c r="A39" s="10" t="s">
        <v>62</v>
      </c>
      <c r="B39" s="11">
        <v>73010960</v>
      </c>
      <c r="C39" s="11">
        <v>25171150</v>
      </c>
      <c r="D39" s="11">
        <v>16755950</v>
      </c>
      <c r="E39" s="11">
        <v>6824600</v>
      </c>
      <c r="F39" s="11">
        <v>9595750</v>
      </c>
      <c r="G39" s="11">
        <v>0</v>
      </c>
      <c r="H39" s="11">
        <v>14663510</v>
      </c>
    </row>
    <row r="40" spans="1:8" ht="12.5" customHeight="1" x14ac:dyDescent="0.45">
      <c r="A40" s="10" t="s">
        <v>66</v>
      </c>
      <c r="B40" s="11">
        <v>314460200</v>
      </c>
      <c r="C40" s="11">
        <v>1200000</v>
      </c>
      <c r="D40" s="11">
        <v>107224780</v>
      </c>
      <c r="E40" s="11">
        <v>135231030</v>
      </c>
      <c r="F40" s="11">
        <v>53586990</v>
      </c>
      <c r="G40" s="11">
        <v>2942400</v>
      </c>
      <c r="H40" s="11">
        <v>14275000</v>
      </c>
    </row>
    <row r="41" spans="1:8" ht="12.5" customHeight="1" x14ac:dyDescent="0.45">
      <c r="A41" s="10" t="s">
        <v>67</v>
      </c>
      <c r="B41" s="11">
        <v>900000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900000</v>
      </c>
    </row>
    <row r="42" spans="1:8" ht="12.5" customHeight="1" x14ac:dyDescent="0.45">
      <c r="A42" s="10" t="s">
        <v>69</v>
      </c>
      <c r="B42" s="11">
        <v>107216127</v>
      </c>
      <c r="C42" s="11">
        <v>3281213</v>
      </c>
      <c r="D42" s="11">
        <v>35649176</v>
      </c>
      <c r="E42" s="11">
        <v>36964344</v>
      </c>
      <c r="F42" s="11">
        <v>18813509</v>
      </c>
      <c r="G42" s="11">
        <v>4578383</v>
      </c>
      <c r="H42" s="11">
        <v>7929502</v>
      </c>
    </row>
    <row r="43" spans="1:8" ht="12.5" customHeight="1" x14ac:dyDescent="0.45">
      <c r="A43" s="10" t="s">
        <v>70</v>
      </c>
      <c r="B43" s="11">
        <v>107216127</v>
      </c>
      <c r="C43" s="11">
        <v>3281213</v>
      </c>
      <c r="D43" s="11">
        <v>35649176</v>
      </c>
      <c r="E43" s="11">
        <v>36964344</v>
      </c>
      <c r="F43" s="11">
        <v>18813509</v>
      </c>
      <c r="G43" s="11">
        <v>4578383</v>
      </c>
      <c r="H43" s="11">
        <v>7929502</v>
      </c>
    </row>
    <row r="44" spans="1:8" ht="12.5" customHeight="1" x14ac:dyDescent="0.45">
      <c r="A44" s="10" t="s">
        <v>71</v>
      </c>
      <c r="B44" s="11">
        <v>2000000</v>
      </c>
      <c r="C44" s="11">
        <v>0</v>
      </c>
      <c r="D44" s="11">
        <v>500000</v>
      </c>
      <c r="E44" s="11">
        <v>500000</v>
      </c>
      <c r="F44" s="11">
        <v>1000000</v>
      </c>
      <c r="G44" s="11">
        <v>0</v>
      </c>
      <c r="H44" s="11">
        <v>0</v>
      </c>
    </row>
    <row r="45" spans="1:8" ht="12.5" customHeight="1" x14ac:dyDescent="0.45">
      <c r="A45" s="10" t="s">
        <v>252</v>
      </c>
      <c r="B45" s="11">
        <v>2000000</v>
      </c>
      <c r="C45" s="11">
        <v>0</v>
      </c>
      <c r="D45" s="11">
        <v>500000</v>
      </c>
      <c r="E45" s="11">
        <v>500000</v>
      </c>
      <c r="F45" s="11">
        <v>1000000</v>
      </c>
      <c r="G45" s="11">
        <v>0</v>
      </c>
      <c r="H45" s="11">
        <v>0</v>
      </c>
    </row>
    <row r="46" spans="1:8" ht="12.5" customHeight="1" x14ac:dyDescent="0.45">
      <c r="A46" s="10" t="s">
        <v>72</v>
      </c>
      <c r="B46" s="11">
        <v>277203050</v>
      </c>
      <c r="C46" s="11">
        <v>6119477</v>
      </c>
      <c r="D46" s="11">
        <v>71098025</v>
      </c>
      <c r="E46" s="11">
        <v>81976945</v>
      </c>
      <c r="F46" s="11">
        <v>51312436</v>
      </c>
      <c r="G46" s="11">
        <v>11106473</v>
      </c>
      <c r="H46" s="11">
        <v>55589694</v>
      </c>
    </row>
    <row r="47" spans="1:8" ht="12.5" customHeight="1" x14ac:dyDescent="0.45">
      <c r="A47" s="10" t="s">
        <v>74</v>
      </c>
      <c r="B47" s="11">
        <v>10058501</v>
      </c>
      <c r="C47" s="11">
        <v>393509</v>
      </c>
      <c r="D47" s="11">
        <v>3192552</v>
      </c>
      <c r="E47" s="11">
        <v>3492485</v>
      </c>
      <c r="F47" s="11">
        <v>1790075</v>
      </c>
      <c r="G47" s="11">
        <v>313956</v>
      </c>
      <c r="H47" s="11">
        <v>875924</v>
      </c>
    </row>
    <row r="48" spans="1:8" ht="12.5" customHeight="1" x14ac:dyDescent="0.45">
      <c r="A48" s="10" t="s">
        <v>75</v>
      </c>
      <c r="B48" s="11">
        <v>49984110</v>
      </c>
      <c r="C48" s="11">
        <v>1529700</v>
      </c>
      <c r="D48" s="11">
        <v>16619630</v>
      </c>
      <c r="E48" s="11">
        <v>17232760</v>
      </c>
      <c r="F48" s="11">
        <v>8770850</v>
      </c>
      <c r="G48" s="11">
        <v>2134440</v>
      </c>
      <c r="H48" s="11">
        <v>3696730</v>
      </c>
    </row>
    <row r="49" spans="1:8" ht="12.5" customHeight="1" x14ac:dyDescent="0.45">
      <c r="A49" s="10" t="s">
        <v>76</v>
      </c>
      <c r="B49" s="11">
        <v>54361650</v>
      </c>
      <c r="C49" s="11">
        <v>1361420</v>
      </c>
      <c r="D49" s="11">
        <v>18229880</v>
      </c>
      <c r="E49" s="11">
        <v>19619170</v>
      </c>
      <c r="F49" s="11">
        <v>9326280</v>
      </c>
      <c r="G49" s="11">
        <v>2493300</v>
      </c>
      <c r="H49" s="11">
        <v>3331600</v>
      </c>
    </row>
    <row r="50" spans="1:8" ht="12.5" customHeight="1" x14ac:dyDescent="0.45">
      <c r="A50" s="10" t="s">
        <v>77</v>
      </c>
      <c r="B50" s="11">
        <v>18746643</v>
      </c>
      <c r="C50" s="11">
        <v>733408</v>
      </c>
      <c r="D50" s="11">
        <v>5950154</v>
      </c>
      <c r="E50" s="11">
        <v>6509158</v>
      </c>
      <c r="F50" s="11">
        <v>3336274</v>
      </c>
      <c r="G50" s="11">
        <v>585139</v>
      </c>
      <c r="H50" s="11">
        <v>1632510</v>
      </c>
    </row>
    <row r="51" spans="1:8" ht="12.5" customHeight="1" x14ac:dyDescent="0.45">
      <c r="A51" s="10" t="s">
        <v>79</v>
      </c>
      <c r="B51" s="11">
        <v>71635896</v>
      </c>
      <c r="C51" s="11">
        <v>0</v>
      </c>
      <c r="D51" s="11">
        <v>15666396</v>
      </c>
      <c r="E51" s="11">
        <v>23295000</v>
      </c>
      <c r="F51" s="11">
        <v>25695500</v>
      </c>
      <c r="G51" s="11">
        <v>5179000</v>
      </c>
      <c r="H51" s="11">
        <v>1800000</v>
      </c>
    </row>
    <row r="52" spans="1:8" ht="12.5" customHeight="1" x14ac:dyDescent="0.45">
      <c r="A52" s="10" t="s">
        <v>80</v>
      </c>
      <c r="B52" s="11">
        <v>7740000</v>
      </c>
      <c r="C52" s="11">
        <v>0</v>
      </c>
      <c r="D52" s="11">
        <v>2395000</v>
      </c>
      <c r="E52" s="11">
        <v>1685000</v>
      </c>
      <c r="F52" s="11">
        <v>2100000</v>
      </c>
      <c r="G52" s="11">
        <v>300000</v>
      </c>
      <c r="H52" s="11">
        <v>1260000</v>
      </c>
    </row>
    <row r="53" spans="1:8" ht="12.5" customHeight="1" x14ac:dyDescent="0.45">
      <c r="A53" s="10" t="s">
        <v>81</v>
      </c>
      <c r="B53" s="11">
        <v>2101440</v>
      </c>
      <c r="C53" s="11">
        <v>2101440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</row>
    <row r="54" spans="1:8" ht="12.5" customHeight="1" x14ac:dyDescent="0.45">
      <c r="A54" s="10" t="s">
        <v>82</v>
      </c>
      <c r="B54" s="11">
        <v>1789069</v>
      </c>
      <c r="C54" s="11">
        <v>0</v>
      </c>
      <c r="D54" s="11">
        <v>313642</v>
      </c>
      <c r="E54" s="11">
        <v>1081332</v>
      </c>
      <c r="F54" s="11">
        <v>293457</v>
      </c>
      <c r="G54" s="11">
        <v>100638</v>
      </c>
      <c r="H54" s="11">
        <v>0</v>
      </c>
    </row>
    <row r="55" spans="1:8" ht="12.5" customHeight="1" x14ac:dyDescent="0.45">
      <c r="A55" s="10" t="s">
        <v>107</v>
      </c>
      <c r="B55" s="11">
        <v>60785741</v>
      </c>
      <c r="C55" s="11">
        <v>0</v>
      </c>
      <c r="D55" s="11">
        <v>8730771</v>
      </c>
      <c r="E55" s="11">
        <v>9062040</v>
      </c>
      <c r="F55" s="11">
        <v>0</v>
      </c>
      <c r="G55" s="11">
        <v>0</v>
      </c>
      <c r="H55" s="11">
        <v>42992930</v>
      </c>
    </row>
    <row r="56" spans="1:8" ht="12.5" customHeight="1" x14ac:dyDescent="0.45">
      <c r="A56" s="10" t="s">
        <v>113</v>
      </c>
      <c r="B56" s="11">
        <v>2745666</v>
      </c>
      <c r="C56" s="11">
        <v>70000</v>
      </c>
      <c r="D56" s="11">
        <v>823160</v>
      </c>
      <c r="E56" s="11">
        <v>1037559</v>
      </c>
      <c r="F56" s="11">
        <v>745547</v>
      </c>
      <c r="G56" s="11">
        <v>0</v>
      </c>
      <c r="H56" s="11">
        <v>69400</v>
      </c>
    </row>
    <row r="57" spans="1:8" ht="12.5" customHeight="1" x14ac:dyDescent="0.45">
      <c r="A57" s="10" t="s">
        <v>115</v>
      </c>
      <c r="B57" s="11">
        <v>70000</v>
      </c>
      <c r="C57" s="11">
        <v>70000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</row>
    <row r="58" spans="1:8" ht="12.5" customHeight="1" x14ac:dyDescent="0.45">
      <c r="A58" s="10" t="s">
        <v>114</v>
      </c>
      <c r="B58" s="11">
        <v>737947</v>
      </c>
      <c r="C58" s="11">
        <v>0</v>
      </c>
      <c r="D58" s="11">
        <v>0</v>
      </c>
      <c r="E58" s="11">
        <v>450300</v>
      </c>
      <c r="F58" s="11">
        <v>218247</v>
      </c>
      <c r="G58" s="11">
        <v>0</v>
      </c>
      <c r="H58" s="11">
        <v>69400</v>
      </c>
    </row>
    <row r="59" spans="1:8" ht="12.5" customHeight="1" x14ac:dyDescent="0.45">
      <c r="A59" s="10" t="s">
        <v>117</v>
      </c>
      <c r="B59" s="11">
        <v>1937719</v>
      </c>
      <c r="C59" s="11">
        <v>0</v>
      </c>
      <c r="D59" s="11">
        <v>823160</v>
      </c>
      <c r="E59" s="11">
        <v>587259</v>
      </c>
      <c r="F59" s="11">
        <v>527300</v>
      </c>
      <c r="G59" s="11">
        <v>0</v>
      </c>
      <c r="H59" s="11">
        <v>0</v>
      </c>
    </row>
    <row r="60" spans="1:8" ht="12.5" customHeight="1" x14ac:dyDescent="0.45">
      <c r="A60" s="10" t="s">
        <v>120</v>
      </c>
      <c r="B60" s="11">
        <v>100000</v>
      </c>
      <c r="C60" s="11">
        <v>100000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</row>
    <row r="61" spans="1:8" ht="12.5" customHeight="1" x14ac:dyDescent="0.45">
      <c r="A61" s="10" t="s">
        <v>123</v>
      </c>
      <c r="B61" s="11">
        <v>100000</v>
      </c>
      <c r="C61" s="11">
        <v>100000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</row>
    <row r="62" spans="1:8" ht="12.5" customHeight="1" x14ac:dyDescent="0.45">
      <c r="A62" s="10" t="s">
        <v>124</v>
      </c>
      <c r="B62" s="11">
        <v>2020287</v>
      </c>
      <c r="C62" s="11">
        <v>0</v>
      </c>
      <c r="D62" s="11">
        <v>396180</v>
      </c>
      <c r="E62" s="11">
        <v>459500</v>
      </c>
      <c r="F62" s="11">
        <v>1034107</v>
      </c>
      <c r="G62" s="11">
        <v>59900</v>
      </c>
      <c r="H62" s="11">
        <v>70600</v>
      </c>
    </row>
    <row r="63" spans="1:8" ht="12.5" customHeight="1" x14ac:dyDescent="0.45">
      <c r="A63" s="10" t="s">
        <v>127</v>
      </c>
      <c r="B63" s="11">
        <v>770037</v>
      </c>
      <c r="C63" s="11">
        <v>0</v>
      </c>
      <c r="D63" s="11">
        <v>0</v>
      </c>
      <c r="E63" s="11">
        <v>0</v>
      </c>
      <c r="F63" s="11">
        <v>770037</v>
      </c>
      <c r="G63" s="11">
        <v>0</v>
      </c>
      <c r="H63" s="11">
        <v>0</v>
      </c>
    </row>
    <row r="64" spans="1:8" ht="12.5" customHeight="1" x14ac:dyDescent="0.45">
      <c r="A64" s="10" t="s">
        <v>128</v>
      </c>
      <c r="B64" s="11">
        <v>1250250</v>
      </c>
      <c r="C64" s="11">
        <v>0</v>
      </c>
      <c r="D64" s="11">
        <v>396180</v>
      </c>
      <c r="E64" s="11">
        <v>459500</v>
      </c>
      <c r="F64" s="11">
        <v>264070</v>
      </c>
      <c r="G64" s="11">
        <v>59900</v>
      </c>
      <c r="H64" s="11">
        <v>70600</v>
      </c>
    </row>
    <row r="65" spans="1:8" ht="12.5" customHeight="1" x14ac:dyDescent="0.45">
      <c r="A65" s="10" t="s">
        <v>131</v>
      </c>
      <c r="B65" s="11">
        <v>12341987</v>
      </c>
      <c r="C65" s="11">
        <v>0</v>
      </c>
      <c r="D65" s="11">
        <v>6088460</v>
      </c>
      <c r="E65" s="11">
        <v>5301629</v>
      </c>
      <c r="F65" s="11">
        <v>951898</v>
      </c>
      <c r="G65" s="11">
        <v>0</v>
      </c>
      <c r="H65" s="11">
        <v>0</v>
      </c>
    </row>
    <row r="66" spans="1:8" ht="12.5" customHeight="1" x14ac:dyDescent="0.45">
      <c r="A66" s="10" t="s">
        <v>132</v>
      </c>
      <c r="B66" s="11">
        <v>12341987</v>
      </c>
      <c r="C66" s="11">
        <v>0</v>
      </c>
      <c r="D66" s="11">
        <v>6088460</v>
      </c>
      <c r="E66" s="11">
        <v>5301629</v>
      </c>
      <c r="F66" s="11">
        <v>951898</v>
      </c>
      <c r="G66" s="11">
        <v>0</v>
      </c>
      <c r="H66" s="11">
        <v>0</v>
      </c>
    </row>
    <row r="67" spans="1:8" ht="12.5" customHeight="1" x14ac:dyDescent="0.45">
      <c r="A67" s="10" t="s">
        <v>139</v>
      </c>
      <c r="B67" s="11">
        <v>2611666</v>
      </c>
      <c r="C67" s="11">
        <v>1933333</v>
      </c>
      <c r="D67" s="11">
        <v>0</v>
      </c>
      <c r="E67" s="11">
        <v>0</v>
      </c>
      <c r="F67" s="11">
        <v>0</v>
      </c>
      <c r="G67" s="11">
        <v>678333</v>
      </c>
      <c r="H67" s="11">
        <v>0</v>
      </c>
    </row>
    <row r="68" spans="1:8" ht="12.5" customHeight="1" x14ac:dyDescent="0.45">
      <c r="A68" s="10" t="s">
        <v>140</v>
      </c>
      <c r="B68" s="11">
        <v>155309321</v>
      </c>
      <c r="C68" s="11">
        <v>15135226</v>
      </c>
      <c r="D68" s="11">
        <v>45446481</v>
      </c>
      <c r="E68" s="11">
        <v>32769647</v>
      </c>
      <c r="F68" s="11">
        <v>42498922</v>
      </c>
      <c r="G68" s="11">
        <v>14608045</v>
      </c>
      <c r="H68" s="11">
        <v>4851000</v>
      </c>
    </row>
    <row r="69" spans="1:8" ht="12.5" customHeight="1" x14ac:dyDescent="0.45">
      <c r="A69" s="10" t="s">
        <v>141</v>
      </c>
      <c r="B69" s="11">
        <v>35808000</v>
      </c>
      <c r="C69" s="11">
        <v>1250000</v>
      </c>
      <c r="D69" s="11">
        <v>2156000</v>
      </c>
      <c r="E69" s="11">
        <v>2186000</v>
      </c>
      <c r="F69" s="11">
        <v>17280000</v>
      </c>
      <c r="G69" s="11">
        <v>8085000</v>
      </c>
      <c r="H69" s="11">
        <v>4851000</v>
      </c>
    </row>
    <row r="70" spans="1:8" ht="12.5" customHeight="1" x14ac:dyDescent="0.45">
      <c r="A70" s="10" t="s">
        <v>143</v>
      </c>
      <c r="B70" s="11">
        <v>64516550</v>
      </c>
      <c r="C70" s="11">
        <v>8700000</v>
      </c>
      <c r="D70" s="11">
        <v>19280900</v>
      </c>
      <c r="E70" s="11">
        <v>13987000</v>
      </c>
      <c r="F70" s="11">
        <v>18226650</v>
      </c>
      <c r="G70" s="11">
        <v>4322000</v>
      </c>
      <c r="H70" s="11">
        <v>0</v>
      </c>
    </row>
    <row r="71" spans="1:8" ht="12.5" customHeight="1" x14ac:dyDescent="0.45">
      <c r="A71" s="10" t="s">
        <v>144</v>
      </c>
      <c r="B71" s="11">
        <v>54984771</v>
      </c>
      <c r="C71" s="11">
        <v>5185226</v>
      </c>
      <c r="D71" s="11">
        <v>24009581</v>
      </c>
      <c r="E71" s="11">
        <v>16596647</v>
      </c>
      <c r="F71" s="11">
        <v>6992272</v>
      </c>
      <c r="G71" s="11">
        <v>2201045</v>
      </c>
      <c r="H71" s="11">
        <v>0</v>
      </c>
    </row>
    <row r="72" spans="1:8" ht="12.5" customHeight="1" x14ac:dyDescent="0.45">
      <c r="A72" s="10" t="s">
        <v>149</v>
      </c>
      <c r="B72" s="11">
        <v>157941</v>
      </c>
      <c r="C72" s="11">
        <v>0</v>
      </c>
      <c r="D72" s="11">
        <v>-176676</v>
      </c>
      <c r="E72" s="11">
        <v>334617</v>
      </c>
      <c r="F72" s="11">
        <v>0</v>
      </c>
      <c r="G72" s="11">
        <v>0</v>
      </c>
      <c r="H72" s="11">
        <v>0</v>
      </c>
    </row>
    <row r="73" spans="1:8" ht="12.5" customHeight="1" x14ac:dyDescent="0.45">
      <c r="A73" s="10" t="s">
        <v>151</v>
      </c>
      <c r="B73" s="11">
        <v>157941</v>
      </c>
      <c r="C73" s="11">
        <v>0</v>
      </c>
      <c r="D73" s="11">
        <v>-176676</v>
      </c>
      <c r="E73" s="11">
        <v>334617</v>
      </c>
      <c r="F73" s="11">
        <v>0</v>
      </c>
      <c r="G73" s="11">
        <v>0</v>
      </c>
      <c r="H73" s="11">
        <v>0</v>
      </c>
    </row>
    <row r="74" spans="1:8" ht="12.5" customHeight="1" x14ac:dyDescent="0.45">
      <c r="A74" s="10" t="s">
        <v>154</v>
      </c>
      <c r="B74" s="11">
        <v>20463600</v>
      </c>
      <c r="C74" s="11">
        <v>568650</v>
      </c>
      <c r="D74" s="11">
        <v>1686287</v>
      </c>
      <c r="E74" s="11">
        <v>2572682</v>
      </c>
      <c r="F74" s="11">
        <v>6991918</v>
      </c>
      <c r="G74" s="11">
        <v>5435156</v>
      </c>
      <c r="H74" s="11">
        <v>3208907</v>
      </c>
    </row>
    <row r="75" spans="1:8" ht="12.5" customHeight="1" x14ac:dyDescent="0.45">
      <c r="A75" s="10" t="s">
        <v>155</v>
      </c>
      <c r="B75" s="11">
        <v>4757405</v>
      </c>
      <c r="C75" s="11">
        <v>120650</v>
      </c>
      <c r="D75" s="11">
        <v>800550</v>
      </c>
      <c r="E75" s="11">
        <v>1070805</v>
      </c>
      <c r="F75" s="11">
        <v>1670950</v>
      </c>
      <c r="G75" s="11">
        <v>766200</v>
      </c>
      <c r="H75" s="11">
        <v>328250</v>
      </c>
    </row>
    <row r="76" spans="1:8" ht="12.5" customHeight="1" x14ac:dyDescent="0.45">
      <c r="A76" s="10" t="s">
        <v>156</v>
      </c>
      <c r="B76" s="11">
        <v>448000</v>
      </c>
      <c r="C76" s="11">
        <v>448000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</row>
    <row r="77" spans="1:8" ht="12.5" customHeight="1" x14ac:dyDescent="0.45">
      <c r="A77" s="10" t="s">
        <v>157</v>
      </c>
      <c r="B77" s="11">
        <v>1642850</v>
      </c>
      <c r="C77" s="11">
        <v>0</v>
      </c>
      <c r="D77" s="11">
        <v>120000</v>
      </c>
      <c r="E77" s="11">
        <v>0</v>
      </c>
      <c r="F77" s="11">
        <v>215000</v>
      </c>
      <c r="G77" s="11">
        <v>374000</v>
      </c>
      <c r="H77" s="11">
        <v>933850</v>
      </c>
    </row>
    <row r="78" spans="1:8" ht="12.5" customHeight="1" x14ac:dyDescent="0.45">
      <c r="A78" s="10" t="s">
        <v>158</v>
      </c>
      <c r="B78" s="11">
        <v>13615345</v>
      </c>
      <c r="C78" s="11">
        <v>0</v>
      </c>
      <c r="D78" s="11">
        <v>765737</v>
      </c>
      <c r="E78" s="11">
        <v>1501877</v>
      </c>
      <c r="F78" s="11">
        <v>5105968</v>
      </c>
      <c r="G78" s="11">
        <v>4294956</v>
      </c>
      <c r="H78" s="11">
        <v>1946807</v>
      </c>
    </row>
    <row r="79" spans="1:8" ht="12.5" customHeight="1" x14ac:dyDescent="0.45">
      <c r="A79" s="10" t="s">
        <v>162</v>
      </c>
      <c r="B79" s="11">
        <v>23747316</v>
      </c>
      <c r="C79" s="11">
        <v>0</v>
      </c>
      <c r="D79" s="11">
        <v>7266000</v>
      </c>
      <c r="E79" s="11">
        <v>5541000</v>
      </c>
      <c r="F79" s="11">
        <v>9549816</v>
      </c>
      <c r="G79" s="11">
        <v>1190000</v>
      </c>
      <c r="H79" s="11">
        <v>200500</v>
      </c>
    </row>
    <row r="80" spans="1:8" ht="12.5" customHeight="1" x14ac:dyDescent="0.45">
      <c r="A80" s="10" t="s">
        <v>164</v>
      </c>
      <c r="B80" s="11">
        <v>23747316</v>
      </c>
      <c r="C80" s="11">
        <v>0</v>
      </c>
      <c r="D80" s="11">
        <v>7266000</v>
      </c>
      <c r="E80" s="11">
        <v>5541000</v>
      </c>
      <c r="F80" s="11">
        <v>9549816</v>
      </c>
      <c r="G80" s="11">
        <v>1190000</v>
      </c>
      <c r="H80" s="11">
        <v>200500</v>
      </c>
    </row>
    <row r="81" spans="1:8" ht="12.5" customHeight="1" x14ac:dyDescent="0.45">
      <c r="A81" s="10" t="s">
        <v>169</v>
      </c>
      <c r="B81" s="11">
        <v>1368910</v>
      </c>
      <c r="C81" s="11">
        <v>0</v>
      </c>
      <c r="D81" s="11">
        <v>648000</v>
      </c>
      <c r="E81" s="11">
        <v>720910</v>
      </c>
      <c r="F81" s="11">
        <v>0</v>
      </c>
      <c r="G81" s="11">
        <v>0</v>
      </c>
      <c r="H81" s="11">
        <v>0</v>
      </c>
    </row>
    <row r="82" spans="1:8" ht="12.5" customHeight="1" x14ac:dyDescent="0.45">
      <c r="A82" s="10" t="s">
        <v>170</v>
      </c>
      <c r="B82" s="11">
        <v>99637</v>
      </c>
      <c r="C82" s="11">
        <v>0</v>
      </c>
      <c r="D82" s="11">
        <v>0</v>
      </c>
      <c r="E82" s="11">
        <v>99637</v>
      </c>
      <c r="F82" s="11">
        <v>0</v>
      </c>
      <c r="G82" s="11">
        <v>0</v>
      </c>
      <c r="H82" s="11">
        <v>0</v>
      </c>
    </row>
    <row r="83" spans="1:8" ht="12.5" customHeight="1" x14ac:dyDescent="0.45">
      <c r="A83" s="10" t="s">
        <v>172</v>
      </c>
      <c r="B83" s="11">
        <v>1269273</v>
      </c>
      <c r="C83" s="11">
        <v>0</v>
      </c>
      <c r="D83" s="11">
        <v>648000</v>
      </c>
      <c r="E83" s="11">
        <v>621273</v>
      </c>
      <c r="F83" s="11">
        <v>0</v>
      </c>
      <c r="G83" s="11">
        <v>0</v>
      </c>
      <c r="H83" s="11">
        <v>0</v>
      </c>
    </row>
    <row r="84" spans="1:8" ht="12.5" customHeight="1" x14ac:dyDescent="0.45">
      <c r="A84" s="10" t="s">
        <v>179</v>
      </c>
      <c r="B84" s="11">
        <v>58542375</v>
      </c>
      <c r="C84" s="11">
        <v>4763833</v>
      </c>
      <c r="D84" s="11">
        <v>18527460</v>
      </c>
      <c r="E84" s="11">
        <v>16844000</v>
      </c>
      <c r="F84" s="11">
        <v>11015984</v>
      </c>
      <c r="G84" s="11">
        <v>2133964</v>
      </c>
      <c r="H84" s="11">
        <v>5257134</v>
      </c>
    </row>
    <row r="85" spans="1:8" ht="12.5" customHeight="1" x14ac:dyDescent="0.45">
      <c r="A85" s="10" t="s">
        <v>180</v>
      </c>
      <c r="B85" s="11">
        <v>15372606</v>
      </c>
      <c r="C85" s="11">
        <v>0</v>
      </c>
      <c r="D85" s="11">
        <v>5575064</v>
      </c>
      <c r="E85" s="11">
        <v>6081471</v>
      </c>
      <c r="F85" s="11">
        <v>2283664</v>
      </c>
      <c r="G85" s="11">
        <v>704665</v>
      </c>
      <c r="H85" s="11">
        <v>727742</v>
      </c>
    </row>
    <row r="86" spans="1:8" ht="12.5" customHeight="1" x14ac:dyDescent="0.45">
      <c r="A86" s="10" t="s">
        <v>182</v>
      </c>
      <c r="B86" s="11">
        <v>2404913</v>
      </c>
      <c r="C86" s="11">
        <v>1279384</v>
      </c>
      <c r="D86" s="11">
        <v>379879</v>
      </c>
      <c r="E86" s="11">
        <v>356918</v>
      </c>
      <c r="F86" s="11">
        <v>338186</v>
      </c>
      <c r="G86" s="11">
        <v>0</v>
      </c>
      <c r="H86" s="11">
        <v>50546</v>
      </c>
    </row>
    <row r="87" spans="1:8" ht="12.5" customHeight="1" x14ac:dyDescent="0.45">
      <c r="A87" s="10" t="s">
        <v>183</v>
      </c>
      <c r="B87" s="11">
        <v>1190419</v>
      </c>
      <c r="C87" s="11">
        <v>0</v>
      </c>
      <c r="D87" s="11">
        <v>447641</v>
      </c>
      <c r="E87" s="11">
        <v>443278</v>
      </c>
      <c r="F87" s="11">
        <v>299500</v>
      </c>
      <c r="G87" s="11">
        <v>0</v>
      </c>
      <c r="H87" s="11">
        <v>0</v>
      </c>
    </row>
    <row r="88" spans="1:8" ht="12.5" customHeight="1" x14ac:dyDescent="0.45">
      <c r="A88" s="10" t="s">
        <v>185</v>
      </c>
      <c r="B88" s="11">
        <v>5153596</v>
      </c>
      <c r="C88" s="11">
        <v>0</v>
      </c>
      <c r="D88" s="11">
        <v>399879</v>
      </c>
      <c r="E88" s="11">
        <v>2264595</v>
      </c>
      <c r="F88" s="11">
        <v>0</v>
      </c>
      <c r="G88" s="11">
        <v>0</v>
      </c>
      <c r="H88" s="11">
        <v>2489122</v>
      </c>
    </row>
    <row r="89" spans="1:8" ht="12.5" customHeight="1" x14ac:dyDescent="0.45">
      <c r="A89" s="10" t="s">
        <v>186</v>
      </c>
      <c r="B89" s="11">
        <v>7508686</v>
      </c>
      <c r="C89" s="11">
        <v>0</v>
      </c>
      <c r="D89" s="11">
        <v>0</v>
      </c>
      <c r="E89" s="11">
        <v>0</v>
      </c>
      <c r="F89" s="11">
        <v>6218389</v>
      </c>
      <c r="G89" s="11">
        <v>1290297</v>
      </c>
      <c r="H89" s="11">
        <v>0</v>
      </c>
    </row>
    <row r="90" spans="1:8" ht="12.5" customHeight="1" x14ac:dyDescent="0.45">
      <c r="A90" s="10" t="s">
        <v>187</v>
      </c>
      <c r="B90" s="11">
        <v>26613345</v>
      </c>
      <c r="C90" s="11">
        <v>3484449</v>
      </c>
      <c r="D90" s="11">
        <v>11625633</v>
      </c>
      <c r="E90" s="11">
        <v>7598283</v>
      </c>
      <c r="F90" s="11">
        <v>1776254</v>
      </c>
      <c r="G90" s="11">
        <v>139002</v>
      </c>
      <c r="H90" s="11">
        <v>1989724</v>
      </c>
    </row>
    <row r="91" spans="1:8" ht="12.5" customHeight="1" x14ac:dyDescent="0.45">
      <c r="A91" s="10" t="s">
        <v>189</v>
      </c>
      <c r="B91" s="11">
        <v>298810</v>
      </c>
      <c r="C91" s="11">
        <v>0</v>
      </c>
      <c r="D91" s="11">
        <v>99364</v>
      </c>
      <c r="E91" s="11">
        <v>99455</v>
      </c>
      <c r="F91" s="11">
        <v>99991</v>
      </c>
      <c r="G91" s="11">
        <v>0</v>
      </c>
      <c r="H91" s="11">
        <v>0</v>
      </c>
    </row>
    <row r="92" spans="1:8" ht="12.5" customHeight="1" x14ac:dyDescent="0.45">
      <c r="A92" s="10" t="s">
        <v>191</v>
      </c>
      <c r="B92" s="11">
        <v>23047536</v>
      </c>
      <c r="C92" s="11">
        <v>162848</v>
      </c>
      <c r="D92" s="11">
        <v>9911097</v>
      </c>
      <c r="E92" s="11">
        <v>11286932</v>
      </c>
      <c r="F92" s="11">
        <v>1160547</v>
      </c>
      <c r="G92" s="11">
        <v>408000</v>
      </c>
      <c r="H92" s="11">
        <v>118112</v>
      </c>
    </row>
    <row r="93" spans="1:8" ht="12.5" customHeight="1" x14ac:dyDescent="0.45">
      <c r="A93" s="10" t="s">
        <v>192</v>
      </c>
      <c r="B93" s="11">
        <v>10616488</v>
      </c>
      <c r="C93" s="11">
        <v>50760</v>
      </c>
      <c r="D93" s="11">
        <v>4714348</v>
      </c>
      <c r="E93" s="11">
        <v>4729265</v>
      </c>
      <c r="F93" s="11">
        <v>814257</v>
      </c>
      <c r="G93" s="11">
        <v>265618</v>
      </c>
      <c r="H93" s="11">
        <v>42240</v>
      </c>
    </row>
    <row r="94" spans="1:8" ht="12.5" customHeight="1" x14ac:dyDescent="0.45">
      <c r="A94" s="10" t="s">
        <v>193</v>
      </c>
      <c r="B94" s="11">
        <v>9353358</v>
      </c>
      <c r="C94" s="11">
        <v>0</v>
      </c>
      <c r="D94" s="11">
        <v>4130522</v>
      </c>
      <c r="E94" s="11">
        <v>5222836</v>
      </c>
      <c r="F94" s="11">
        <v>0</v>
      </c>
      <c r="G94" s="11">
        <v>0</v>
      </c>
      <c r="H94" s="11">
        <v>0</v>
      </c>
    </row>
    <row r="95" spans="1:8" ht="12.5" customHeight="1" x14ac:dyDescent="0.45">
      <c r="A95" s="10" t="s">
        <v>194</v>
      </c>
      <c r="B95" s="11">
        <v>3077690</v>
      </c>
      <c r="C95" s="11">
        <v>112088</v>
      </c>
      <c r="D95" s="11">
        <v>1066227</v>
      </c>
      <c r="E95" s="11">
        <v>1334831</v>
      </c>
      <c r="F95" s="11">
        <v>346290</v>
      </c>
      <c r="G95" s="11">
        <v>142382</v>
      </c>
      <c r="H95" s="11">
        <v>75872</v>
      </c>
    </row>
    <row r="96" spans="1:8" ht="12.5" customHeight="1" x14ac:dyDescent="0.45">
      <c r="A96" s="10" t="s">
        <v>197</v>
      </c>
      <c r="B96" s="11">
        <v>20947931</v>
      </c>
      <c r="C96" s="11">
        <v>4646100</v>
      </c>
      <c r="D96" s="11">
        <v>4967362</v>
      </c>
      <c r="E96" s="11">
        <v>8439563</v>
      </c>
      <c r="F96" s="11">
        <v>949906</v>
      </c>
      <c r="G96" s="11">
        <v>1945000</v>
      </c>
      <c r="H96" s="11">
        <v>0</v>
      </c>
    </row>
    <row r="97" spans="1:8" ht="12.5" customHeight="1" x14ac:dyDescent="0.45">
      <c r="A97" s="10" t="s">
        <v>199</v>
      </c>
      <c r="B97" s="11">
        <v>3864000</v>
      </c>
      <c r="C97" s="11">
        <v>0</v>
      </c>
      <c r="D97" s="11">
        <v>0</v>
      </c>
      <c r="E97" s="11">
        <v>2189000</v>
      </c>
      <c r="F97" s="11">
        <v>0</v>
      </c>
      <c r="G97" s="11">
        <v>1675000</v>
      </c>
      <c r="H97" s="11">
        <v>0</v>
      </c>
    </row>
    <row r="98" spans="1:8" ht="12.5" customHeight="1" x14ac:dyDescent="0.45">
      <c r="A98" s="10" t="s">
        <v>202</v>
      </c>
      <c r="B98" s="11">
        <v>6146482</v>
      </c>
      <c r="C98" s="11">
        <v>73000</v>
      </c>
      <c r="D98" s="11">
        <v>2660143</v>
      </c>
      <c r="E98" s="11">
        <v>2728742</v>
      </c>
      <c r="F98" s="11">
        <v>480597</v>
      </c>
      <c r="G98" s="11">
        <v>204000</v>
      </c>
      <c r="H98" s="11">
        <v>0</v>
      </c>
    </row>
    <row r="99" spans="1:8" ht="12.5" customHeight="1" x14ac:dyDescent="0.45">
      <c r="A99" s="10" t="s">
        <v>204</v>
      </c>
      <c r="B99" s="11">
        <v>1860000</v>
      </c>
      <c r="C99" s="11">
        <v>0</v>
      </c>
      <c r="D99" s="11">
        <v>880000</v>
      </c>
      <c r="E99" s="11">
        <v>980000</v>
      </c>
      <c r="F99" s="11">
        <v>0</v>
      </c>
      <c r="G99" s="11">
        <v>0</v>
      </c>
      <c r="H99" s="11">
        <v>0</v>
      </c>
    </row>
    <row r="100" spans="1:8" ht="12.5" customHeight="1" x14ac:dyDescent="0.45">
      <c r="A100" s="10" t="s">
        <v>205</v>
      </c>
      <c r="B100" s="11">
        <v>4521649</v>
      </c>
      <c r="C100" s="11">
        <v>17300</v>
      </c>
      <c r="D100" s="11">
        <v>1427219</v>
      </c>
      <c r="E100" s="11">
        <v>2541821</v>
      </c>
      <c r="F100" s="11">
        <v>469309</v>
      </c>
      <c r="G100" s="11">
        <v>66000</v>
      </c>
      <c r="H100" s="11">
        <v>0</v>
      </c>
    </row>
    <row r="101" spans="1:8" ht="12.5" customHeight="1" x14ac:dyDescent="0.45">
      <c r="A101" s="10" t="s">
        <v>207</v>
      </c>
      <c r="B101" s="11">
        <v>4555800</v>
      </c>
      <c r="C101" s="11">
        <v>4555800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</row>
    <row r="102" spans="1:8" ht="12.5" customHeight="1" x14ac:dyDescent="0.45">
      <c r="A102" s="10" t="s">
        <v>215</v>
      </c>
      <c r="B102" s="11">
        <v>156472865</v>
      </c>
      <c r="C102" s="11">
        <v>213635</v>
      </c>
      <c r="D102" s="11">
        <v>51050717</v>
      </c>
      <c r="E102" s="11">
        <v>67023729</v>
      </c>
      <c r="F102" s="11">
        <v>1992727</v>
      </c>
      <c r="G102" s="11">
        <v>0</v>
      </c>
      <c r="H102" s="11">
        <v>36192057</v>
      </c>
    </row>
    <row r="103" spans="1:8" ht="12.5" customHeight="1" x14ac:dyDescent="0.45">
      <c r="A103" s="10" t="s">
        <v>216</v>
      </c>
      <c r="B103" s="11">
        <v>27860620</v>
      </c>
      <c r="C103" s="11">
        <v>0</v>
      </c>
      <c r="D103" s="11">
        <v>5665940</v>
      </c>
      <c r="E103" s="11">
        <v>22194680</v>
      </c>
      <c r="F103" s="11">
        <v>0</v>
      </c>
      <c r="G103" s="11">
        <v>0</v>
      </c>
      <c r="H103" s="11">
        <v>0</v>
      </c>
    </row>
    <row r="104" spans="1:8" ht="12.5" customHeight="1" x14ac:dyDescent="0.45">
      <c r="A104" s="10" t="s">
        <v>218</v>
      </c>
      <c r="B104" s="11">
        <v>200000</v>
      </c>
      <c r="C104" s="11">
        <v>0</v>
      </c>
      <c r="D104" s="11">
        <v>0</v>
      </c>
      <c r="E104" s="11">
        <v>0</v>
      </c>
      <c r="F104" s="11">
        <v>200000</v>
      </c>
      <c r="G104" s="11">
        <v>0</v>
      </c>
      <c r="H104" s="11">
        <v>0</v>
      </c>
    </row>
    <row r="105" spans="1:8" ht="12.5" customHeight="1" x14ac:dyDescent="0.45">
      <c r="A105" s="10" t="s">
        <v>219</v>
      </c>
      <c r="B105" s="11">
        <v>8991984</v>
      </c>
      <c r="C105" s="11">
        <v>0</v>
      </c>
      <c r="D105" s="11">
        <v>8724134</v>
      </c>
      <c r="E105" s="11">
        <v>267850</v>
      </c>
      <c r="F105" s="11">
        <v>0</v>
      </c>
      <c r="G105" s="11">
        <v>0</v>
      </c>
      <c r="H105" s="11">
        <v>0</v>
      </c>
    </row>
    <row r="106" spans="1:8" ht="12.5" customHeight="1" x14ac:dyDescent="0.45">
      <c r="A106" s="10" t="s">
        <v>220</v>
      </c>
      <c r="B106" s="11">
        <v>79850100</v>
      </c>
      <c r="C106" s="11">
        <v>0</v>
      </c>
      <c r="D106" s="11">
        <v>27472500</v>
      </c>
      <c r="E106" s="11">
        <v>29388600</v>
      </c>
      <c r="F106" s="11">
        <v>0</v>
      </c>
      <c r="G106" s="11">
        <v>0</v>
      </c>
      <c r="H106" s="11">
        <v>22989000</v>
      </c>
    </row>
    <row r="107" spans="1:8" ht="12.5" customHeight="1" x14ac:dyDescent="0.45">
      <c r="A107" s="10" t="s">
        <v>221</v>
      </c>
      <c r="B107" s="11">
        <v>1792727</v>
      </c>
      <c r="C107" s="11">
        <v>0</v>
      </c>
      <c r="D107" s="11">
        <v>0</v>
      </c>
      <c r="E107" s="11">
        <v>0</v>
      </c>
      <c r="F107" s="11">
        <v>1792727</v>
      </c>
      <c r="G107" s="11">
        <v>0</v>
      </c>
      <c r="H107" s="11">
        <v>0</v>
      </c>
    </row>
    <row r="108" spans="1:8" ht="12.5" customHeight="1" x14ac:dyDescent="0.45">
      <c r="A108" s="10" t="s">
        <v>222</v>
      </c>
      <c r="B108" s="11">
        <v>37777434</v>
      </c>
      <c r="C108" s="11">
        <v>213635</v>
      </c>
      <c r="D108" s="11">
        <v>9188143</v>
      </c>
      <c r="E108" s="11">
        <v>15172599</v>
      </c>
      <c r="F108" s="11">
        <v>0</v>
      </c>
      <c r="G108" s="11">
        <v>0</v>
      </c>
      <c r="H108" s="11">
        <v>13203057</v>
      </c>
    </row>
    <row r="109" spans="1:8" ht="12.5" customHeight="1" x14ac:dyDescent="0.45">
      <c r="A109" s="10" t="s">
        <v>227</v>
      </c>
      <c r="B109" s="11">
        <v>10340280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10340280</v>
      </c>
    </row>
    <row r="110" spans="1:8" ht="12.5" customHeight="1" x14ac:dyDescent="0.45">
      <c r="A110" s="10" t="s">
        <v>235</v>
      </c>
      <c r="B110" s="11">
        <v>10340280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10340280</v>
      </c>
    </row>
    <row r="111" spans="1:8" ht="12.5" customHeight="1" x14ac:dyDescent="0.45">
      <c r="A111" s="10" t="s">
        <v>253</v>
      </c>
      <c r="B111" s="11">
        <v>427617243</v>
      </c>
      <c r="C111" s="11">
        <v>-97240965</v>
      </c>
      <c r="D111" s="11">
        <v>178151427</v>
      </c>
      <c r="E111" s="11">
        <v>227019906</v>
      </c>
      <c r="F111" s="11">
        <v>82679322</v>
      </c>
      <c r="G111" s="11">
        <v>66345993</v>
      </c>
      <c r="H111" s="11">
        <v>-29338440</v>
      </c>
    </row>
    <row r="112" spans="1:8" ht="12.5" customHeight="1" x14ac:dyDescent="0.45">
      <c r="A112" s="10" t="s">
        <v>254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</row>
    <row r="113" spans="1:8" ht="12.5" customHeight="1" x14ac:dyDescent="0.45">
      <c r="A113" s="10" t="s">
        <v>255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</row>
    <row r="114" spans="1:8" ht="12.5" customHeight="1" x14ac:dyDescent="0.45">
      <c r="A114" s="10" t="s">
        <v>256</v>
      </c>
      <c r="B114" s="11">
        <v>427617243</v>
      </c>
      <c r="C114" s="11">
        <v>-97240965</v>
      </c>
      <c r="D114" s="11">
        <v>178151427</v>
      </c>
      <c r="E114" s="11">
        <v>227019906</v>
      </c>
      <c r="F114" s="11">
        <v>82679322</v>
      </c>
      <c r="G114" s="11">
        <v>66345993</v>
      </c>
      <c r="H114" s="11">
        <v>-29338440</v>
      </c>
    </row>
    <row r="115" spans="1:8" ht="12.5" customHeight="1" x14ac:dyDescent="0.45">
      <c r="A115" s="10" t="s">
        <v>257</v>
      </c>
      <c r="B115" s="11">
        <v>427617243</v>
      </c>
      <c r="C115" s="11">
        <v>-97240965</v>
      </c>
      <c r="D115" s="11">
        <v>178151427</v>
      </c>
      <c r="E115" s="11">
        <v>227019906</v>
      </c>
      <c r="F115" s="11">
        <v>82679322</v>
      </c>
      <c r="G115" s="11">
        <v>66345993</v>
      </c>
      <c r="H115" s="11">
        <v>-29338440</v>
      </c>
    </row>
    <row r="116" spans="1:8" ht="12.5" customHeight="1" x14ac:dyDescent="0.45">
      <c r="A116" s="10" t="s">
        <v>258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</row>
    <row r="117" spans="1:8" ht="12.5" customHeight="1" x14ac:dyDescent="0.45">
      <c r="A117" s="10" t="s">
        <v>259</v>
      </c>
      <c r="B117" s="11">
        <v>427617243</v>
      </c>
      <c r="C117" s="11">
        <v>-97240965</v>
      </c>
      <c r="D117" s="11">
        <v>178151427</v>
      </c>
      <c r="E117" s="11">
        <v>227019906</v>
      </c>
      <c r="F117" s="11">
        <v>82679322</v>
      </c>
      <c r="G117" s="11">
        <v>66345993</v>
      </c>
      <c r="H117" s="11">
        <v>-29338440</v>
      </c>
    </row>
    <row r="118" spans="1:8" ht="12.5" customHeight="1" x14ac:dyDescent="0.45">
      <c r="A118" s="10" t="s">
        <v>260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</row>
    <row r="119" spans="1:8" ht="12.5" customHeight="1" x14ac:dyDescent="0.45">
      <c r="A119" s="10" t="s">
        <v>261</v>
      </c>
      <c r="B119" s="11">
        <v>427617243</v>
      </c>
      <c r="C119" s="11">
        <v>-97240965</v>
      </c>
      <c r="D119" s="11">
        <v>178151427</v>
      </c>
      <c r="E119" s="11">
        <v>227019906</v>
      </c>
      <c r="F119" s="11">
        <v>82679322</v>
      </c>
      <c r="G119" s="11">
        <v>66345993</v>
      </c>
      <c r="H119" s="11">
        <v>-29338440</v>
      </c>
    </row>
    <row r="120" spans="1:8" ht="12.5" customHeight="1" x14ac:dyDescent="0.45">
      <c r="A120" s="10" t="s">
        <v>262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</row>
    <row r="121" spans="1:8" ht="12.5" customHeight="1" x14ac:dyDescent="0.45">
      <c r="A121" s="10" t="s">
        <v>263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</row>
    <row r="122" spans="1:8" ht="12.5" customHeight="1" x14ac:dyDescent="0.45">
      <c r="A122" s="10" t="s">
        <v>264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</row>
    <row r="123" spans="1:8" ht="12.5" customHeight="1" x14ac:dyDescent="0.45">
      <c r="A123" s="10" t="s">
        <v>265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</row>
    <row r="124" spans="1:8" ht="12.5" customHeight="1" x14ac:dyDescent="0.45">
      <c r="A124" s="10" t="s">
        <v>266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03A5-935C-41E9-BF48-343E50D3EA44}">
  <dimension ref="A1:G127"/>
  <sheetViews>
    <sheetView workbookViewId="0">
      <selection sqref="A1:A2"/>
    </sheetView>
  </sheetViews>
  <sheetFormatPr defaultColWidth="8.4140625" defaultRowHeight="12.5" customHeight="1" x14ac:dyDescent="0.45"/>
  <cols>
    <col min="1" max="7" width="19.6640625" style="12" customWidth="1"/>
    <col min="8" max="16384" width="8.4140625" style="12"/>
  </cols>
  <sheetData>
    <row r="1" spans="1:7" ht="12.5" customHeight="1" x14ac:dyDescent="0.45">
      <c r="A1" s="76" t="s">
        <v>0</v>
      </c>
      <c r="B1" s="76" t="s">
        <v>250</v>
      </c>
      <c r="C1" s="9" t="s">
        <v>267</v>
      </c>
      <c r="D1" s="9" t="s">
        <v>268</v>
      </c>
      <c r="E1" s="9" t="s">
        <v>269</v>
      </c>
      <c r="F1" s="9" t="s">
        <v>270</v>
      </c>
      <c r="G1" s="9" t="s">
        <v>271</v>
      </c>
    </row>
    <row r="2" spans="1:7" ht="12.5" customHeight="1" x14ac:dyDescent="0.45">
      <c r="A2" s="76" t="s">
        <v>0</v>
      </c>
      <c r="B2" s="76" t="s">
        <v>250</v>
      </c>
      <c r="C2" s="9" t="s">
        <v>272</v>
      </c>
      <c r="D2" s="9" t="s">
        <v>273</v>
      </c>
      <c r="E2" s="9" t="s">
        <v>274</v>
      </c>
      <c r="F2" s="9" t="s">
        <v>275</v>
      </c>
      <c r="G2" s="9" t="s">
        <v>276</v>
      </c>
    </row>
    <row r="3" spans="1:7" ht="12.5" customHeight="1" x14ac:dyDescent="0.45">
      <c r="A3" s="10" t="s">
        <v>251</v>
      </c>
      <c r="B3" s="11">
        <v>370610043</v>
      </c>
      <c r="C3" s="11">
        <v>-134994521</v>
      </c>
      <c r="D3" s="11">
        <v>201633114</v>
      </c>
      <c r="E3" s="11">
        <v>277454692</v>
      </c>
      <c r="F3" s="11">
        <v>55129900</v>
      </c>
      <c r="G3" s="11">
        <v>-28613142</v>
      </c>
    </row>
    <row r="4" spans="1:7" ht="12.5" customHeight="1" x14ac:dyDescent="0.45">
      <c r="A4" s="10" t="s">
        <v>1</v>
      </c>
      <c r="B4" s="11">
        <v>4688078759</v>
      </c>
      <c r="C4" s="11">
        <v>11573</v>
      </c>
      <c r="D4" s="11">
        <v>1805971552</v>
      </c>
      <c r="E4" s="11">
        <v>2358639866</v>
      </c>
      <c r="F4" s="11">
        <v>413476623</v>
      </c>
      <c r="G4" s="11">
        <v>109979145</v>
      </c>
    </row>
    <row r="5" spans="1:7" ht="12.5" customHeight="1" x14ac:dyDescent="0.45">
      <c r="A5" s="10" t="s">
        <v>2</v>
      </c>
      <c r="B5" s="11">
        <v>1967667930</v>
      </c>
      <c r="C5" s="11">
        <v>0</v>
      </c>
      <c r="D5" s="11">
        <v>881984818</v>
      </c>
      <c r="E5" s="11">
        <v>1081865328</v>
      </c>
      <c r="F5" s="11">
        <v>51966</v>
      </c>
      <c r="G5" s="11">
        <v>3765818</v>
      </c>
    </row>
    <row r="6" spans="1:7" ht="12.5" customHeight="1" x14ac:dyDescent="0.45">
      <c r="A6" s="10" t="s">
        <v>3</v>
      </c>
      <c r="B6" s="11">
        <v>2693273</v>
      </c>
      <c r="C6" s="11">
        <v>0</v>
      </c>
      <c r="D6" s="11">
        <v>963909</v>
      </c>
      <c r="E6" s="11">
        <v>1729364</v>
      </c>
      <c r="F6" s="11">
        <v>0</v>
      </c>
      <c r="G6" s="11">
        <v>0</v>
      </c>
    </row>
    <row r="7" spans="1:7" ht="12.5" customHeight="1" x14ac:dyDescent="0.45">
      <c r="A7" s="10" t="s">
        <v>6</v>
      </c>
      <c r="B7" s="11">
        <v>1875142292</v>
      </c>
      <c r="C7" s="11">
        <v>0</v>
      </c>
      <c r="D7" s="11">
        <v>841913181</v>
      </c>
      <c r="E7" s="11">
        <v>1029411327</v>
      </c>
      <c r="F7" s="11">
        <v>51966</v>
      </c>
      <c r="G7" s="11">
        <v>3765818</v>
      </c>
    </row>
    <row r="8" spans="1:7" ht="12.5" customHeight="1" x14ac:dyDescent="0.45">
      <c r="A8" s="10" t="s">
        <v>7</v>
      </c>
      <c r="B8" s="11">
        <v>43595517</v>
      </c>
      <c r="C8" s="11">
        <v>0</v>
      </c>
      <c r="D8" s="11">
        <v>21474318</v>
      </c>
      <c r="E8" s="11">
        <v>22121199</v>
      </c>
      <c r="F8" s="11">
        <v>0</v>
      </c>
      <c r="G8" s="11">
        <v>0</v>
      </c>
    </row>
    <row r="9" spans="1:7" ht="12.5" customHeight="1" x14ac:dyDescent="0.45">
      <c r="A9" s="10" t="s">
        <v>9</v>
      </c>
      <c r="B9" s="11">
        <v>46236848</v>
      </c>
      <c r="C9" s="11">
        <v>0</v>
      </c>
      <c r="D9" s="11">
        <v>17633410</v>
      </c>
      <c r="E9" s="11">
        <v>28603438</v>
      </c>
      <c r="F9" s="11">
        <v>0</v>
      </c>
      <c r="G9" s="11">
        <v>0</v>
      </c>
    </row>
    <row r="10" spans="1:7" ht="12.5" customHeight="1" x14ac:dyDescent="0.45">
      <c r="A10" s="10" t="s">
        <v>11</v>
      </c>
      <c r="B10" s="11">
        <v>2720410829</v>
      </c>
      <c r="C10" s="11">
        <v>11573</v>
      </c>
      <c r="D10" s="11">
        <v>923986734</v>
      </c>
      <c r="E10" s="11">
        <v>1276774538</v>
      </c>
      <c r="F10" s="11">
        <v>413424657</v>
      </c>
      <c r="G10" s="11">
        <v>106213327</v>
      </c>
    </row>
    <row r="11" spans="1:7" ht="12.5" customHeight="1" x14ac:dyDescent="0.45">
      <c r="A11" s="10" t="s">
        <v>12</v>
      </c>
      <c r="B11" s="11">
        <v>1357374190</v>
      </c>
      <c r="C11" s="11">
        <v>0</v>
      </c>
      <c r="D11" s="11">
        <v>563969663</v>
      </c>
      <c r="E11" s="11">
        <v>788974762</v>
      </c>
      <c r="F11" s="11">
        <v>-155392</v>
      </c>
      <c r="G11" s="11">
        <v>4585157</v>
      </c>
    </row>
    <row r="12" spans="1:7" ht="12.5" customHeight="1" x14ac:dyDescent="0.45">
      <c r="A12" s="10" t="s">
        <v>13</v>
      </c>
      <c r="B12" s="11">
        <v>7979636</v>
      </c>
      <c r="C12" s="11">
        <v>0</v>
      </c>
      <c r="D12" s="11">
        <v>0</v>
      </c>
      <c r="E12" s="11">
        <v>574636</v>
      </c>
      <c r="F12" s="11">
        <v>0</v>
      </c>
      <c r="G12" s="11">
        <v>7405000</v>
      </c>
    </row>
    <row r="13" spans="1:7" ht="12.5" customHeight="1" x14ac:dyDescent="0.45">
      <c r="A13" s="10" t="s">
        <v>14</v>
      </c>
      <c r="B13" s="11">
        <v>549799608</v>
      </c>
      <c r="C13" s="11">
        <v>11573</v>
      </c>
      <c r="D13" s="11">
        <v>197532287</v>
      </c>
      <c r="E13" s="11">
        <v>239843209</v>
      </c>
      <c r="F13" s="11">
        <v>95723273</v>
      </c>
      <c r="G13" s="11">
        <v>16689266</v>
      </c>
    </row>
    <row r="14" spans="1:7" ht="12.5" customHeight="1" x14ac:dyDescent="0.45">
      <c r="A14" s="10" t="s">
        <v>15</v>
      </c>
      <c r="B14" s="11">
        <v>16876343</v>
      </c>
      <c r="C14" s="11">
        <v>0</v>
      </c>
      <c r="D14" s="11">
        <v>7810603</v>
      </c>
      <c r="E14" s="11">
        <v>8234240</v>
      </c>
      <c r="F14" s="11">
        <v>831500</v>
      </c>
      <c r="G14" s="11">
        <v>0</v>
      </c>
    </row>
    <row r="15" spans="1:7" ht="12.5" customHeight="1" x14ac:dyDescent="0.45">
      <c r="A15" s="10" t="s">
        <v>16</v>
      </c>
      <c r="B15" s="11">
        <v>356828492</v>
      </c>
      <c r="C15" s="11">
        <v>0</v>
      </c>
      <c r="D15" s="11">
        <v>108310540</v>
      </c>
      <c r="E15" s="11">
        <v>170965866</v>
      </c>
      <c r="F15" s="11">
        <v>18182</v>
      </c>
      <c r="G15" s="11">
        <v>77533904</v>
      </c>
    </row>
    <row r="16" spans="1:7" ht="12.5" customHeight="1" x14ac:dyDescent="0.45">
      <c r="A16" s="10" t="s">
        <v>20</v>
      </c>
      <c r="B16" s="11">
        <v>317007094</v>
      </c>
      <c r="C16" s="11">
        <v>0</v>
      </c>
      <c r="D16" s="11">
        <v>0</v>
      </c>
      <c r="E16" s="11">
        <v>0</v>
      </c>
      <c r="F16" s="11">
        <v>317007094</v>
      </c>
      <c r="G16" s="11">
        <v>0</v>
      </c>
    </row>
    <row r="17" spans="1:7" ht="12.5" customHeight="1" x14ac:dyDescent="0.45">
      <c r="A17" s="10" t="s">
        <v>21</v>
      </c>
      <c r="B17" s="11">
        <v>114545466</v>
      </c>
      <c r="C17" s="11">
        <v>0</v>
      </c>
      <c r="D17" s="11">
        <v>46363641</v>
      </c>
      <c r="E17" s="11">
        <v>68181825</v>
      </c>
      <c r="F17" s="11">
        <v>0</v>
      </c>
      <c r="G17" s="11">
        <v>0</v>
      </c>
    </row>
    <row r="18" spans="1:7" ht="12.5" customHeight="1" x14ac:dyDescent="0.45">
      <c r="A18" s="10" t="s">
        <v>23</v>
      </c>
      <c r="B18" s="11">
        <v>2276504892</v>
      </c>
      <c r="C18" s="11">
        <v>0</v>
      </c>
      <c r="D18" s="11">
        <v>999632798</v>
      </c>
      <c r="E18" s="11">
        <v>1268655548</v>
      </c>
      <c r="F18" s="11">
        <v>1170000</v>
      </c>
      <c r="G18" s="11">
        <v>7046546</v>
      </c>
    </row>
    <row r="19" spans="1:7" ht="12.5" customHeight="1" x14ac:dyDescent="0.45">
      <c r="A19" s="10" t="s">
        <v>24</v>
      </c>
      <c r="B19" s="11">
        <v>2276504892</v>
      </c>
      <c r="C19" s="11">
        <v>0</v>
      </c>
      <c r="D19" s="11">
        <v>999632798</v>
      </c>
      <c r="E19" s="11">
        <v>1268655548</v>
      </c>
      <c r="F19" s="11">
        <v>1170000</v>
      </c>
      <c r="G19" s="11">
        <v>7046546</v>
      </c>
    </row>
    <row r="20" spans="1:7" ht="12.5" customHeight="1" x14ac:dyDescent="0.45">
      <c r="A20" s="10" t="s">
        <v>25</v>
      </c>
      <c r="B20" s="11">
        <v>2411573867</v>
      </c>
      <c r="C20" s="11">
        <v>11573</v>
      </c>
      <c r="D20" s="11">
        <v>806338754</v>
      </c>
      <c r="E20" s="11">
        <v>1089984318</v>
      </c>
      <c r="F20" s="11">
        <v>412306623</v>
      </c>
      <c r="G20" s="11">
        <v>102932599</v>
      </c>
    </row>
    <row r="21" spans="1:7" ht="12.5" customHeight="1" x14ac:dyDescent="0.45">
      <c r="A21" s="10" t="s">
        <v>26</v>
      </c>
      <c r="B21" s="11">
        <v>2040963824</v>
      </c>
      <c r="C21" s="11">
        <v>135006094</v>
      </c>
      <c r="D21" s="11">
        <v>604705640</v>
      </c>
      <c r="E21" s="11">
        <v>812529626</v>
      </c>
      <c r="F21" s="11">
        <v>357176723</v>
      </c>
      <c r="G21" s="11">
        <v>131545741</v>
      </c>
    </row>
    <row r="22" spans="1:7" ht="12.5" customHeight="1" x14ac:dyDescent="0.45">
      <c r="A22" s="10" t="s">
        <v>27</v>
      </c>
      <c r="B22" s="11">
        <v>11867040</v>
      </c>
      <c r="C22" s="11">
        <v>11867040</v>
      </c>
      <c r="D22" s="11">
        <v>0</v>
      </c>
      <c r="E22" s="11">
        <v>0</v>
      </c>
      <c r="F22" s="11">
        <v>0</v>
      </c>
      <c r="G22" s="11">
        <v>0</v>
      </c>
    </row>
    <row r="23" spans="1:7" ht="12.5" customHeight="1" x14ac:dyDescent="0.45">
      <c r="A23" s="10" t="s">
        <v>28</v>
      </c>
      <c r="B23" s="11">
        <v>828909230</v>
      </c>
      <c r="C23" s="11">
        <v>31564800</v>
      </c>
      <c r="D23" s="11">
        <v>257393070</v>
      </c>
      <c r="E23" s="11">
        <v>351370940</v>
      </c>
      <c r="F23" s="11">
        <v>153912750</v>
      </c>
      <c r="G23" s="11">
        <v>34667670</v>
      </c>
    </row>
    <row r="24" spans="1:7" ht="12.5" customHeight="1" x14ac:dyDescent="0.45">
      <c r="A24" s="10" t="s">
        <v>29</v>
      </c>
      <c r="B24" s="11">
        <v>64425190</v>
      </c>
      <c r="C24" s="11">
        <v>17973740</v>
      </c>
      <c r="D24" s="11">
        <v>16843830</v>
      </c>
      <c r="E24" s="11">
        <v>14088720</v>
      </c>
      <c r="F24" s="11">
        <v>6585250</v>
      </c>
      <c r="G24" s="11">
        <v>8933650</v>
      </c>
    </row>
    <row r="25" spans="1:7" ht="12.5" customHeight="1" x14ac:dyDescent="0.45">
      <c r="A25" s="10" t="s">
        <v>30</v>
      </c>
      <c r="B25" s="11">
        <v>11817530</v>
      </c>
      <c r="C25" s="11">
        <v>3271050</v>
      </c>
      <c r="D25" s="11">
        <v>3089620</v>
      </c>
      <c r="E25" s="11">
        <v>2593870</v>
      </c>
      <c r="F25" s="11">
        <v>1175380</v>
      </c>
      <c r="G25" s="11">
        <v>1687610</v>
      </c>
    </row>
    <row r="26" spans="1:7" ht="12.5" customHeight="1" x14ac:dyDescent="0.45">
      <c r="A26" s="10" t="s">
        <v>31</v>
      </c>
      <c r="B26" s="11">
        <v>2800000</v>
      </c>
      <c r="C26" s="11">
        <v>700000</v>
      </c>
      <c r="D26" s="11">
        <v>700000</v>
      </c>
      <c r="E26" s="11">
        <v>700000</v>
      </c>
      <c r="F26" s="11">
        <v>0</v>
      </c>
      <c r="G26" s="11">
        <v>700000</v>
      </c>
    </row>
    <row r="27" spans="1:7" ht="12.5" customHeight="1" x14ac:dyDescent="0.45">
      <c r="A27" s="10" t="s">
        <v>32</v>
      </c>
      <c r="B27" s="11">
        <v>5287500</v>
      </c>
      <c r="C27" s="11">
        <v>5287500</v>
      </c>
      <c r="D27" s="11">
        <v>0</v>
      </c>
      <c r="E27" s="11">
        <v>0</v>
      </c>
      <c r="F27" s="11">
        <v>0</v>
      </c>
      <c r="G27" s="11">
        <v>0</v>
      </c>
    </row>
    <row r="28" spans="1:7" ht="12.5" customHeight="1" x14ac:dyDescent="0.45">
      <c r="A28" s="10" t="s">
        <v>33</v>
      </c>
      <c r="B28" s="11">
        <v>1734430</v>
      </c>
      <c r="C28" s="11">
        <v>0</v>
      </c>
      <c r="D28" s="11">
        <v>776060</v>
      </c>
      <c r="E28" s="11">
        <v>396940</v>
      </c>
      <c r="F28" s="11">
        <v>425060</v>
      </c>
      <c r="G28" s="11">
        <v>136370</v>
      </c>
    </row>
    <row r="29" spans="1:7" ht="12.5" customHeight="1" x14ac:dyDescent="0.45">
      <c r="A29" s="10" t="s">
        <v>34</v>
      </c>
      <c r="B29" s="11">
        <v>714360</v>
      </c>
      <c r="C29" s="11">
        <v>224730</v>
      </c>
      <c r="D29" s="11">
        <v>0</v>
      </c>
      <c r="E29" s="11">
        <v>291050</v>
      </c>
      <c r="F29" s="11">
        <v>198580</v>
      </c>
      <c r="G29" s="11">
        <v>0</v>
      </c>
    </row>
    <row r="30" spans="1:7" ht="12.5" customHeight="1" x14ac:dyDescent="0.45">
      <c r="A30" s="10" t="s">
        <v>35</v>
      </c>
      <c r="B30" s="11">
        <v>4310380</v>
      </c>
      <c r="C30" s="11">
        <v>0</v>
      </c>
      <c r="D30" s="11">
        <v>0</v>
      </c>
      <c r="E30" s="11">
        <v>4310380</v>
      </c>
      <c r="F30" s="11">
        <v>0</v>
      </c>
      <c r="G30" s="11">
        <v>0</v>
      </c>
    </row>
    <row r="31" spans="1:7" ht="12.5" customHeight="1" x14ac:dyDescent="0.45">
      <c r="A31" s="10" t="s">
        <v>36</v>
      </c>
      <c r="B31" s="11">
        <v>729540</v>
      </c>
      <c r="C31" s="11">
        <v>0</v>
      </c>
      <c r="D31" s="11">
        <v>0</v>
      </c>
      <c r="E31" s="11">
        <v>729540</v>
      </c>
      <c r="F31" s="11">
        <v>0</v>
      </c>
      <c r="G31" s="11">
        <v>0</v>
      </c>
    </row>
    <row r="32" spans="1:7" ht="12.5" customHeight="1" x14ac:dyDescent="0.45">
      <c r="A32" s="10" t="s">
        <v>41</v>
      </c>
      <c r="B32" s="11">
        <v>2405000</v>
      </c>
      <c r="C32" s="11">
        <v>700000</v>
      </c>
      <c r="D32" s="11">
        <v>620000</v>
      </c>
      <c r="E32" s="11">
        <v>465000</v>
      </c>
      <c r="F32" s="11">
        <v>310000</v>
      </c>
      <c r="G32" s="11">
        <v>310000</v>
      </c>
    </row>
    <row r="33" spans="1:7" ht="12.5" customHeight="1" x14ac:dyDescent="0.45">
      <c r="A33" s="10" t="s">
        <v>43</v>
      </c>
      <c r="B33" s="11">
        <v>310000</v>
      </c>
      <c r="C33" s="11">
        <v>0</v>
      </c>
      <c r="D33" s="11">
        <v>0</v>
      </c>
      <c r="E33" s="11">
        <v>310000</v>
      </c>
      <c r="F33" s="11">
        <v>0</v>
      </c>
      <c r="G33" s="11">
        <v>0</v>
      </c>
    </row>
    <row r="34" spans="1:7" ht="12.5" customHeight="1" x14ac:dyDescent="0.45">
      <c r="A34" s="10" t="s">
        <v>46</v>
      </c>
      <c r="B34" s="11">
        <v>573029770</v>
      </c>
      <c r="C34" s="11">
        <v>2788080</v>
      </c>
      <c r="D34" s="11">
        <v>185156190</v>
      </c>
      <c r="E34" s="11">
        <v>256319180</v>
      </c>
      <c r="F34" s="11">
        <v>114504350</v>
      </c>
      <c r="G34" s="11">
        <v>14261970</v>
      </c>
    </row>
    <row r="35" spans="1:7" ht="12.5" customHeight="1" x14ac:dyDescent="0.45">
      <c r="A35" s="10" t="s">
        <v>47</v>
      </c>
      <c r="B35" s="11">
        <v>95432950</v>
      </c>
      <c r="C35" s="11">
        <v>464700</v>
      </c>
      <c r="D35" s="11">
        <v>31113850</v>
      </c>
      <c r="E35" s="11">
        <v>43439140</v>
      </c>
      <c r="F35" s="11">
        <v>18012110</v>
      </c>
      <c r="G35" s="11">
        <v>2403150</v>
      </c>
    </row>
    <row r="36" spans="1:7" ht="12.5" customHeight="1" x14ac:dyDescent="0.45">
      <c r="A36" s="10" t="s">
        <v>48</v>
      </c>
      <c r="B36" s="11">
        <v>19445170</v>
      </c>
      <c r="C36" s="11">
        <v>0</v>
      </c>
      <c r="D36" s="11">
        <v>5945170</v>
      </c>
      <c r="E36" s="11">
        <v>9500000</v>
      </c>
      <c r="F36" s="11">
        <v>4000000</v>
      </c>
      <c r="G36" s="11">
        <v>0</v>
      </c>
    </row>
    <row r="37" spans="1:7" ht="12.5" customHeight="1" x14ac:dyDescent="0.45">
      <c r="A37" s="10" t="s">
        <v>49</v>
      </c>
      <c r="B37" s="11">
        <v>38725000</v>
      </c>
      <c r="C37" s="11">
        <v>155000</v>
      </c>
      <c r="D37" s="11">
        <v>12535000</v>
      </c>
      <c r="E37" s="11">
        <v>17420000</v>
      </c>
      <c r="F37" s="11">
        <v>7750000</v>
      </c>
      <c r="G37" s="11">
        <v>865000</v>
      </c>
    </row>
    <row r="38" spans="1:7" ht="12.5" customHeight="1" x14ac:dyDescent="0.45">
      <c r="A38" s="10" t="s">
        <v>50</v>
      </c>
      <c r="B38" s="11">
        <v>20000</v>
      </c>
      <c r="C38" s="11">
        <v>0</v>
      </c>
      <c r="D38" s="11">
        <v>0</v>
      </c>
      <c r="E38" s="11">
        <v>0</v>
      </c>
      <c r="F38" s="11">
        <v>0</v>
      </c>
      <c r="G38" s="11">
        <v>20000</v>
      </c>
    </row>
    <row r="39" spans="1:7" ht="12.5" customHeight="1" x14ac:dyDescent="0.45">
      <c r="A39" s="10" t="s">
        <v>53</v>
      </c>
      <c r="B39" s="11">
        <v>5349920</v>
      </c>
      <c r="C39" s="11">
        <v>0</v>
      </c>
      <c r="D39" s="11">
        <v>0</v>
      </c>
      <c r="E39" s="11">
        <v>0</v>
      </c>
      <c r="F39" s="11">
        <v>0</v>
      </c>
      <c r="G39" s="11">
        <v>5349920</v>
      </c>
    </row>
    <row r="40" spans="1:7" ht="12.5" customHeight="1" x14ac:dyDescent="0.45">
      <c r="A40" s="10" t="s">
        <v>56</v>
      </c>
      <c r="B40" s="11">
        <v>1872490</v>
      </c>
      <c r="C40" s="11">
        <v>0</v>
      </c>
      <c r="D40" s="11">
        <v>613350</v>
      </c>
      <c r="E40" s="11">
        <v>807120</v>
      </c>
      <c r="F40" s="11">
        <v>452020</v>
      </c>
      <c r="G40" s="11">
        <v>0</v>
      </c>
    </row>
    <row r="41" spans="1:7" ht="12.5" customHeight="1" x14ac:dyDescent="0.45">
      <c r="A41" s="10" t="s">
        <v>58</v>
      </c>
      <c r="B41" s="11">
        <v>500000</v>
      </c>
      <c r="C41" s="11">
        <v>0</v>
      </c>
      <c r="D41" s="11">
        <v>0</v>
      </c>
      <c r="E41" s="11">
        <v>0</v>
      </c>
      <c r="F41" s="11">
        <v>500000</v>
      </c>
      <c r="G41" s="11">
        <v>0</v>
      </c>
    </row>
    <row r="42" spans="1:7" ht="12.5" customHeight="1" x14ac:dyDescent="0.45">
      <c r="A42" s="10" t="s">
        <v>61</v>
      </c>
      <c r="B42" s="11">
        <v>333157170</v>
      </c>
      <c r="C42" s="11">
        <v>22444510</v>
      </c>
      <c r="D42" s="11">
        <v>86457640</v>
      </c>
      <c r="E42" s="11">
        <v>156182850</v>
      </c>
      <c r="F42" s="11">
        <v>55782470</v>
      </c>
      <c r="G42" s="11">
        <v>12289700</v>
      </c>
    </row>
    <row r="43" spans="1:7" ht="12.5" customHeight="1" x14ac:dyDescent="0.45">
      <c r="A43" s="10" t="s">
        <v>62</v>
      </c>
      <c r="B43" s="11">
        <v>71048090</v>
      </c>
      <c r="C43" s="11">
        <v>20469510</v>
      </c>
      <c r="D43" s="11">
        <v>17602180</v>
      </c>
      <c r="E43" s="11">
        <v>18481430</v>
      </c>
      <c r="F43" s="11">
        <v>7382450</v>
      </c>
      <c r="G43" s="11">
        <v>7112520</v>
      </c>
    </row>
    <row r="44" spans="1:7" ht="12.5" customHeight="1" x14ac:dyDescent="0.45">
      <c r="A44" s="10" t="s">
        <v>65</v>
      </c>
      <c r="B44" s="11">
        <v>100000</v>
      </c>
      <c r="C44" s="11">
        <v>0</v>
      </c>
      <c r="D44" s="11">
        <v>0</v>
      </c>
      <c r="E44" s="11">
        <v>100000</v>
      </c>
      <c r="F44" s="11">
        <v>0</v>
      </c>
      <c r="G44" s="11">
        <v>0</v>
      </c>
    </row>
    <row r="45" spans="1:7" ht="12.5" customHeight="1" x14ac:dyDescent="0.45">
      <c r="A45" s="10" t="s">
        <v>66</v>
      </c>
      <c r="B45" s="11">
        <v>261709080</v>
      </c>
      <c r="C45" s="11">
        <v>1975000</v>
      </c>
      <c r="D45" s="11">
        <v>68855460</v>
      </c>
      <c r="E45" s="11">
        <v>137601420</v>
      </c>
      <c r="F45" s="11">
        <v>48400020</v>
      </c>
      <c r="G45" s="11">
        <v>4877180</v>
      </c>
    </row>
    <row r="46" spans="1:7" ht="12.5" customHeight="1" x14ac:dyDescent="0.45">
      <c r="A46" s="10" t="s">
        <v>67</v>
      </c>
      <c r="B46" s="11">
        <v>300000</v>
      </c>
      <c r="C46" s="11">
        <v>0</v>
      </c>
      <c r="D46" s="11">
        <v>0</v>
      </c>
      <c r="E46" s="11">
        <v>0</v>
      </c>
      <c r="F46" s="11">
        <v>0</v>
      </c>
      <c r="G46" s="11">
        <v>300000</v>
      </c>
    </row>
    <row r="47" spans="1:7" ht="12.5" customHeight="1" x14ac:dyDescent="0.45">
      <c r="A47" s="10" t="s">
        <v>69</v>
      </c>
      <c r="B47" s="11">
        <v>93702706</v>
      </c>
      <c r="C47" s="11">
        <v>3692603</v>
      </c>
      <c r="D47" s="11">
        <v>28472465</v>
      </c>
      <c r="E47" s="11">
        <v>39261619</v>
      </c>
      <c r="F47" s="11">
        <v>17505830</v>
      </c>
      <c r="G47" s="11">
        <v>4770189</v>
      </c>
    </row>
    <row r="48" spans="1:7" ht="12.5" customHeight="1" x14ac:dyDescent="0.45">
      <c r="A48" s="10" t="s">
        <v>70</v>
      </c>
      <c r="B48" s="11">
        <v>93702706</v>
      </c>
      <c r="C48" s="11">
        <v>3692603</v>
      </c>
      <c r="D48" s="11">
        <v>28472465</v>
      </c>
      <c r="E48" s="11">
        <v>39261619</v>
      </c>
      <c r="F48" s="11">
        <v>17505830</v>
      </c>
      <c r="G48" s="11">
        <v>4770189</v>
      </c>
    </row>
    <row r="49" spans="1:7" ht="12.5" customHeight="1" x14ac:dyDescent="0.45">
      <c r="A49" s="10" t="s">
        <v>72</v>
      </c>
      <c r="B49" s="11">
        <v>256062215</v>
      </c>
      <c r="C49" s="11">
        <v>5888571</v>
      </c>
      <c r="D49" s="11">
        <v>73180978</v>
      </c>
      <c r="E49" s="11">
        <v>108331702</v>
      </c>
      <c r="F49" s="11">
        <v>45498356</v>
      </c>
      <c r="G49" s="11">
        <v>23162608</v>
      </c>
    </row>
    <row r="50" spans="1:7" ht="12.5" customHeight="1" x14ac:dyDescent="0.45">
      <c r="A50" s="10" t="s">
        <v>74</v>
      </c>
      <c r="B50" s="11">
        <v>8737276</v>
      </c>
      <c r="C50" s="11">
        <v>440826</v>
      </c>
      <c r="D50" s="11">
        <v>2532832</v>
      </c>
      <c r="E50" s="11">
        <v>3782657</v>
      </c>
      <c r="F50" s="11">
        <v>1558399</v>
      </c>
      <c r="G50" s="11">
        <v>422562</v>
      </c>
    </row>
    <row r="51" spans="1:7" ht="12.5" customHeight="1" x14ac:dyDescent="0.45">
      <c r="A51" s="10" t="s">
        <v>75</v>
      </c>
      <c r="B51" s="11">
        <v>43684160</v>
      </c>
      <c r="C51" s="11">
        <v>1721490</v>
      </c>
      <c r="D51" s="11">
        <v>13273850</v>
      </c>
      <c r="E51" s="11">
        <v>18303750</v>
      </c>
      <c r="F51" s="11">
        <v>8161210</v>
      </c>
      <c r="G51" s="11">
        <v>2223860</v>
      </c>
    </row>
    <row r="52" spans="1:7" ht="12.5" customHeight="1" x14ac:dyDescent="0.45">
      <c r="A52" s="10" t="s">
        <v>76</v>
      </c>
      <c r="B52" s="11">
        <v>47488070</v>
      </c>
      <c r="C52" s="11">
        <v>1295160</v>
      </c>
      <c r="D52" s="11">
        <v>15095720</v>
      </c>
      <c r="E52" s="11">
        <v>20324140</v>
      </c>
      <c r="F52" s="11">
        <v>8523480</v>
      </c>
      <c r="G52" s="11">
        <v>2249570</v>
      </c>
    </row>
    <row r="53" spans="1:7" ht="12.5" customHeight="1" x14ac:dyDescent="0.45">
      <c r="A53" s="10" t="s">
        <v>77</v>
      </c>
      <c r="B53" s="11">
        <v>16284193</v>
      </c>
      <c r="C53" s="11">
        <v>821595</v>
      </c>
      <c r="D53" s="11">
        <v>4720596</v>
      </c>
      <c r="E53" s="11">
        <v>7049964</v>
      </c>
      <c r="F53" s="11">
        <v>2904483</v>
      </c>
      <c r="G53" s="11">
        <v>787555</v>
      </c>
    </row>
    <row r="54" spans="1:7" ht="12.5" customHeight="1" x14ac:dyDescent="0.45">
      <c r="A54" s="10" t="s">
        <v>79</v>
      </c>
      <c r="B54" s="11">
        <v>90413280</v>
      </c>
      <c r="C54" s="11">
        <v>0</v>
      </c>
      <c r="D54" s="11">
        <v>29470244</v>
      </c>
      <c r="E54" s="11">
        <v>38899436</v>
      </c>
      <c r="F54" s="11">
        <v>21143600</v>
      </c>
      <c r="G54" s="11">
        <v>900000</v>
      </c>
    </row>
    <row r="55" spans="1:7" ht="12.5" customHeight="1" x14ac:dyDescent="0.45">
      <c r="A55" s="10" t="s">
        <v>80</v>
      </c>
      <c r="B55" s="11">
        <v>4905000</v>
      </c>
      <c r="C55" s="11">
        <v>0</v>
      </c>
      <c r="D55" s="11">
        <v>870000</v>
      </c>
      <c r="E55" s="11">
        <v>1035000</v>
      </c>
      <c r="F55" s="11">
        <v>3000000</v>
      </c>
      <c r="G55" s="11">
        <v>0</v>
      </c>
    </row>
    <row r="56" spans="1:7" ht="12.5" customHeight="1" x14ac:dyDescent="0.45">
      <c r="A56" s="10" t="s">
        <v>81</v>
      </c>
      <c r="B56" s="11">
        <v>1571500</v>
      </c>
      <c r="C56" s="11">
        <v>1571500</v>
      </c>
      <c r="D56" s="11">
        <v>0</v>
      </c>
      <c r="E56" s="11">
        <v>0</v>
      </c>
      <c r="F56" s="11">
        <v>0</v>
      </c>
      <c r="G56" s="11">
        <v>0</v>
      </c>
    </row>
    <row r="57" spans="1:7" ht="12.5" customHeight="1" x14ac:dyDescent="0.45">
      <c r="A57" s="10" t="s">
        <v>82</v>
      </c>
      <c r="B57" s="11">
        <v>1127636</v>
      </c>
      <c r="C57" s="11">
        <v>38000</v>
      </c>
      <c r="D57" s="11">
        <v>366438</v>
      </c>
      <c r="E57" s="11">
        <v>516014</v>
      </c>
      <c r="F57" s="11">
        <v>207184</v>
      </c>
      <c r="G57" s="11">
        <v>0</v>
      </c>
    </row>
    <row r="58" spans="1:7" ht="12.5" customHeight="1" x14ac:dyDescent="0.45">
      <c r="A58" s="10" t="s">
        <v>83</v>
      </c>
      <c r="B58" s="11">
        <v>3500000</v>
      </c>
      <c r="C58" s="11">
        <v>0</v>
      </c>
      <c r="D58" s="11">
        <v>0</v>
      </c>
      <c r="E58" s="11">
        <v>3500000</v>
      </c>
      <c r="F58" s="11">
        <v>0</v>
      </c>
      <c r="G58" s="11">
        <v>0</v>
      </c>
    </row>
    <row r="59" spans="1:7" ht="12.5" customHeight="1" x14ac:dyDescent="0.45">
      <c r="A59" s="10" t="s">
        <v>107</v>
      </c>
      <c r="B59" s="11">
        <v>38351100</v>
      </c>
      <c r="C59" s="11">
        <v>0</v>
      </c>
      <c r="D59" s="11">
        <v>6851298</v>
      </c>
      <c r="E59" s="11">
        <v>14920741</v>
      </c>
      <c r="F59" s="11">
        <v>0</v>
      </c>
      <c r="G59" s="11">
        <v>16579061</v>
      </c>
    </row>
    <row r="60" spans="1:7" ht="12.5" customHeight="1" x14ac:dyDescent="0.45">
      <c r="A60" s="10" t="s">
        <v>113</v>
      </c>
      <c r="B60" s="11">
        <v>1222700</v>
      </c>
      <c r="C60" s="11">
        <v>0</v>
      </c>
      <c r="D60" s="11">
        <v>429400</v>
      </c>
      <c r="E60" s="11">
        <v>621300</v>
      </c>
      <c r="F60" s="11">
        <v>172000</v>
      </c>
      <c r="G60" s="11">
        <v>0</v>
      </c>
    </row>
    <row r="61" spans="1:7" ht="12.5" customHeight="1" x14ac:dyDescent="0.45">
      <c r="A61" s="10" t="s">
        <v>117</v>
      </c>
      <c r="B61" s="11">
        <v>1222700</v>
      </c>
      <c r="C61" s="11">
        <v>0</v>
      </c>
      <c r="D61" s="11">
        <v>429400</v>
      </c>
      <c r="E61" s="11">
        <v>621300</v>
      </c>
      <c r="F61" s="11">
        <v>172000</v>
      </c>
      <c r="G61" s="11">
        <v>0</v>
      </c>
    </row>
    <row r="62" spans="1:7" ht="12.5" customHeight="1" x14ac:dyDescent="0.45">
      <c r="A62" s="10" t="s">
        <v>120</v>
      </c>
      <c r="B62" s="11">
        <v>100000</v>
      </c>
      <c r="C62" s="11">
        <v>100000</v>
      </c>
      <c r="D62" s="11">
        <v>0</v>
      </c>
      <c r="E62" s="11">
        <v>0</v>
      </c>
      <c r="F62" s="11">
        <v>0</v>
      </c>
      <c r="G62" s="11">
        <v>0</v>
      </c>
    </row>
    <row r="63" spans="1:7" ht="12.5" customHeight="1" x14ac:dyDescent="0.45">
      <c r="A63" s="10" t="s">
        <v>123</v>
      </c>
      <c r="B63" s="11">
        <v>100000</v>
      </c>
      <c r="C63" s="11">
        <v>100000</v>
      </c>
      <c r="D63" s="11">
        <v>0</v>
      </c>
      <c r="E63" s="11">
        <v>0</v>
      </c>
      <c r="F63" s="11">
        <v>0</v>
      </c>
      <c r="G63" s="11">
        <v>0</v>
      </c>
    </row>
    <row r="64" spans="1:7" ht="12.5" customHeight="1" x14ac:dyDescent="0.45">
      <c r="A64" s="10" t="s">
        <v>124</v>
      </c>
      <c r="B64" s="11">
        <v>1450328</v>
      </c>
      <c r="C64" s="11">
        <v>14780</v>
      </c>
      <c r="D64" s="11">
        <v>183110</v>
      </c>
      <c r="E64" s="11">
        <v>389840</v>
      </c>
      <c r="F64" s="11">
        <v>846858</v>
      </c>
      <c r="G64" s="11">
        <v>15740</v>
      </c>
    </row>
    <row r="65" spans="1:7" ht="12.5" customHeight="1" x14ac:dyDescent="0.45">
      <c r="A65" s="10" t="s">
        <v>127</v>
      </c>
      <c r="B65" s="11">
        <v>733368</v>
      </c>
      <c r="C65" s="11">
        <v>0</v>
      </c>
      <c r="D65" s="11">
        <v>0</v>
      </c>
      <c r="E65" s="11">
        <v>0</v>
      </c>
      <c r="F65" s="11">
        <v>733368</v>
      </c>
      <c r="G65" s="11">
        <v>0</v>
      </c>
    </row>
    <row r="66" spans="1:7" ht="12.5" customHeight="1" x14ac:dyDescent="0.45">
      <c r="A66" s="10" t="s">
        <v>128</v>
      </c>
      <c r="B66" s="11">
        <v>716960</v>
      </c>
      <c r="C66" s="11">
        <v>14780</v>
      </c>
      <c r="D66" s="11">
        <v>183110</v>
      </c>
      <c r="E66" s="11">
        <v>389840</v>
      </c>
      <c r="F66" s="11">
        <v>113490</v>
      </c>
      <c r="G66" s="11">
        <v>15740</v>
      </c>
    </row>
    <row r="67" spans="1:7" ht="12.5" customHeight="1" x14ac:dyDescent="0.45">
      <c r="A67" s="10" t="s">
        <v>131</v>
      </c>
      <c r="B67" s="11">
        <v>8794164</v>
      </c>
      <c r="C67" s="11">
        <v>0</v>
      </c>
      <c r="D67" s="11">
        <v>4730437</v>
      </c>
      <c r="E67" s="11">
        <v>2823898</v>
      </c>
      <c r="F67" s="11">
        <v>1239829</v>
      </c>
      <c r="G67" s="11">
        <v>0</v>
      </c>
    </row>
    <row r="68" spans="1:7" ht="12.5" customHeight="1" x14ac:dyDescent="0.45">
      <c r="A68" s="10" t="s">
        <v>132</v>
      </c>
      <c r="B68" s="11">
        <v>8794164</v>
      </c>
      <c r="C68" s="11">
        <v>0</v>
      </c>
      <c r="D68" s="11">
        <v>4730437</v>
      </c>
      <c r="E68" s="11">
        <v>2823898</v>
      </c>
      <c r="F68" s="11">
        <v>1239829</v>
      </c>
      <c r="G68" s="11">
        <v>0</v>
      </c>
    </row>
    <row r="69" spans="1:7" ht="12.5" customHeight="1" x14ac:dyDescent="0.45">
      <c r="A69" s="10" t="s">
        <v>139</v>
      </c>
      <c r="B69" s="11">
        <v>4871416</v>
      </c>
      <c r="C69" s="11">
        <v>1800000</v>
      </c>
      <c r="D69" s="11">
        <v>0</v>
      </c>
      <c r="E69" s="11">
        <v>2938333</v>
      </c>
      <c r="F69" s="11">
        <v>133083</v>
      </c>
      <c r="G69" s="11">
        <v>0</v>
      </c>
    </row>
    <row r="70" spans="1:7" ht="12.5" customHeight="1" x14ac:dyDescent="0.45">
      <c r="A70" s="10" t="s">
        <v>140</v>
      </c>
      <c r="B70" s="11">
        <v>136041241</v>
      </c>
      <c r="C70" s="11">
        <v>35968259</v>
      </c>
      <c r="D70" s="11">
        <v>22742872</v>
      </c>
      <c r="E70" s="11">
        <v>29799223</v>
      </c>
      <c r="F70" s="11">
        <v>45913887</v>
      </c>
      <c r="G70" s="11">
        <v>1617000</v>
      </c>
    </row>
    <row r="71" spans="1:7" ht="12.5" customHeight="1" x14ac:dyDescent="0.45">
      <c r="A71" s="10" t="s">
        <v>141</v>
      </c>
      <c r="B71" s="11">
        <v>24616000</v>
      </c>
      <c r="C71" s="11">
        <v>1869000</v>
      </c>
      <c r="D71" s="11">
        <v>1617000</v>
      </c>
      <c r="E71" s="11">
        <v>2695000</v>
      </c>
      <c r="F71" s="11">
        <v>16818000</v>
      </c>
      <c r="G71" s="11">
        <v>1617000</v>
      </c>
    </row>
    <row r="72" spans="1:7" ht="12.5" customHeight="1" x14ac:dyDescent="0.45">
      <c r="A72" s="10" t="s">
        <v>143</v>
      </c>
      <c r="B72" s="11">
        <v>60879504</v>
      </c>
      <c r="C72" s="11">
        <v>25890534</v>
      </c>
      <c r="D72" s="11">
        <v>6746000</v>
      </c>
      <c r="E72" s="11">
        <v>10262970</v>
      </c>
      <c r="F72" s="11">
        <v>17980000</v>
      </c>
      <c r="G72" s="11">
        <v>0</v>
      </c>
    </row>
    <row r="73" spans="1:7" ht="12.5" customHeight="1" x14ac:dyDescent="0.45">
      <c r="A73" s="10" t="s">
        <v>144</v>
      </c>
      <c r="B73" s="11">
        <v>50545737</v>
      </c>
      <c r="C73" s="11">
        <v>8208725</v>
      </c>
      <c r="D73" s="11">
        <v>14379872</v>
      </c>
      <c r="E73" s="11">
        <v>16841253</v>
      </c>
      <c r="F73" s="11">
        <v>11115887</v>
      </c>
      <c r="G73" s="11">
        <v>0</v>
      </c>
    </row>
    <row r="74" spans="1:7" ht="12.5" customHeight="1" x14ac:dyDescent="0.45">
      <c r="A74" s="10" t="s">
        <v>154</v>
      </c>
      <c r="B74" s="11">
        <v>13264375</v>
      </c>
      <c r="C74" s="11">
        <v>358953</v>
      </c>
      <c r="D74" s="11">
        <v>1124164</v>
      </c>
      <c r="E74" s="11">
        <v>1262891</v>
      </c>
      <c r="F74" s="11">
        <v>9703958</v>
      </c>
      <c r="G74" s="11">
        <v>814409</v>
      </c>
    </row>
    <row r="75" spans="1:7" ht="12.5" customHeight="1" x14ac:dyDescent="0.45">
      <c r="A75" s="10" t="s">
        <v>155</v>
      </c>
      <c r="B75" s="11">
        <v>3819365</v>
      </c>
      <c r="C75" s="11">
        <v>26520</v>
      </c>
      <c r="D75" s="11">
        <v>633035</v>
      </c>
      <c r="E75" s="11">
        <v>258500</v>
      </c>
      <c r="F75" s="11">
        <v>2752310</v>
      </c>
      <c r="G75" s="11">
        <v>149000</v>
      </c>
    </row>
    <row r="76" spans="1:7" ht="12.5" customHeight="1" x14ac:dyDescent="0.45">
      <c r="A76" s="10" t="s">
        <v>156</v>
      </c>
      <c r="B76" s="11">
        <v>207559</v>
      </c>
      <c r="C76" s="11">
        <v>207559</v>
      </c>
      <c r="D76" s="11">
        <v>0</v>
      </c>
      <c r="E76" s="11">
        <v>0</v>
      </c>
      <c r="F76" s="11">
        <v>0</v>
      </c>
      <c r="G76" s="11">
        <v>0</v>
      </c>
    </row>
    <row r="77" spans="1:7" ht="12.5" customHeight="1" x14ac:dyDescent="0.45">
      <c r="A77" s="10" t="s">
        <v>157</v>
      </c>
      <c r="B77" s="11">
        <v>634699</v>
      </c>
      <c r="C77" s="11">
        <v>0</v>
      </c>
      <c r="D77" s="11">
        <v>103699</v>
      </c>
      <c r="E77" s="11">
        <v>161000</v>
      </c>
      <c r="F77" s="11">
        <v>220000</v>
      </c>
      <c r="G77" s="11">
        <v>150000</v>
      </c>
    </row>
    <row r="78" spans="1:7" ht="12.5" customHeight="1" x14ac:dyDescent="0.45">
      <c r="A78" s="10" t="s">
        <v>158</v>
      </c>
      <c r="B78" s="11">
        <v>8602752</v>
      </c>
      <c r="C78" s="11">
        <v>124874</v>
      </c>
      <c r="D78" s="11">
        <v>387430</v>
      </c>
      <c r="E78" s="11">
        <v>843391</v>
      </c>
      <c r="F78" s="11">
        <v>6731648</v>
      </c>
      <c r="G78" s="11">
        <v>515409</v>
      </c>
    </row>
    <row r="79" spans="1:7" ht="12.5" customHeight="1" x14ac:dyDescent="0.45">
      <c r="A79" s="10" t="s">
        <v>162</v>
      </c>
      <c r="B79" s="11">
        <v>30028909</v>
      </c>
      <c r="C79" s="11">
        <v>0</v>
      </c>
      <c r="D79" s="11">
        <v>6669500</v>
      </c>
      <c r="E79" s="11">
        <v>8392500</v>
      </c>
      <c r="F79" s="11">
        <v>14966909</v>
      </c>
      <c r="G79" s="11">
        <v>0</v>
      </c>
    </row>
    <row r="80" spans="1:7" ht="12.5" customHeight="1" x14ac:dyDescent="0.45">
      <c r="A80" s="10" t="s">
        <v>164</v>
      </c>
      <c r="B80" s="11">
        <v>30028909</v>
      </c>
      <c r="C80" s="11">
        <v>0</v>
      </c>
      <c r="D80" s="11">
        <v>6669500</v>
      </c>
      <c r="E80" s="11">
        <v>8392500</v>
      </c>
      <c r="F80" s="11">
        <v>14966909</v>
      </c>
      <c r="G80" s="11">
        <v>0</v>
      </c>
    </row>
    <row r="81" spans="1:7" ht="12.5" customHeight="1" x14ac:dyDescent="0.45">
      <c r="A81" s="10" t="s">
        <v>169</v>
      </c>
      <c r="B81" s="11">
        <v>1174636</v>
      </c>
      <c r="C81" s="11">
        <v>0</v>
      </c>
      <c r="D81" s="11">
        <v>555000</v>
      </c>
      <c r="E81" s="11">
        <v>71000</v>
      </c>
      <c r="F81" s="11">
        <v>548636</v>
      </c>
      <c r="G81" s="11">
        <v>0</v>
      </c>
    </row>
    <row r="82" spans="1:7" ht="12.5" customHeight="1" x14ac:dyDescent="0.45">
      <c r="A82" s="10" t="s">
        <v>170</v>
      </c>
      <c r="B82" s="11">
        <v>48636</v>
      </c>
      <c r="C82" s="11">
        <v>0</v>
      </c>
      <c r="D82" s="11">
        <v>0</v>
      </c>
      <c r="E82" s="11">
        <v>0</v>
      </c>
      <c r="F82" s="11">
        <v>48636</v>
      </c>
      <c r="G82" s="11">
        <v>0</v>
      </c>
    </row>
    <row r="83" spans="1:7" ht="12.5" customHeight="1" x14ac:dyDescent="0.45">
      <c r="A83" s="10" t="s">
        <v>172</v>
      </c>
      <c r="B83" s="11">
        <v>1126000</v>
      </c>
      <c r="C83" s="11">
        <v>0</v>
      </c>
      <c r="D83" s="11">
        <v>555000</v>
      </c>
      <c r="E83" s="11">
        <v>71000</v>
      </c>
      <c r="F83" s="11">
        <v>500000</v>
      </c>
      <c r="G83" s="11">
        <v>0</v>
      </c>
    </row>
    <row r="84" spans="1:7" ht="12.5" customHeight="1" x14ac:dyDescent="0.45">
      <c r="A84" s="10" t="s">
        <v>179</v>
      </c>
      <c r="B84" s="11">
        <v>53686951</v>
      </c>
      <c r="C84" s="11">
        <v>6937278</v>
      </c>
      <c r="D84" s="11">
        <v>15044968</v>
      </c>
      <c r="E84" s="11">
        <v>19748058</v>
      </c>
      <c r="F84" s="11">
        <v>7283871</v>
      </c>
      <c r="G84" s="11">
        <v>4672776</v>
      </c>
    </row>
    <row r="85" spans="1:7" ht="12.5" customHeight="1" x14ac:dyDescent="0.45">
      <c r="A85" s="10" t="s">
        <v>180</v>
      </c>
      <c r="B85" s="11">
        <v>12451604</v>
      </c>
      <c r="C85" s="11">
        <v>0</v>
      </c>
      <c r="D85" s="11">
        <v>3630756</v>
      </c>
      <c r="E85" s="11">
        <v>6491409</v>
      </c>
      <c r="F85" s="11">
        <v>2094165</v>
      </c>
      <c r="G85" s="11">
        <v>235274</v>
      </c>
    </row>
    <row r="86" spans="1:7" ht="12.5" customHeight="1" x14ac:dyDescent="0.45">
      <c r="A86" s="10" t="s">
        <v>182</v>
      </c>
      <c r="B86" s="11">
        <v>2166457</v>
      </c>
      <c r="C86" s="11">
        <v>1298500</v>
      </c>
      <c r="D86" s="11">
        <v>339909</v>
      </c>
      <c r="E86" s="11">
        <v>0</v>
      </c>
      <c r="F86" s="11">
        <v>319003</v>
      </c>
      <c r="G86" s="11">
        <v>209045</v>
      </c>
    </row>
    <row r="87" spans="1:7" ht="12.5" customHeight="1" x14ac:dyDescent="0.45">
      <c r="A87" s="10" t="s">
        <v>183</v>
      </c>
      <c r="B87" s="11">
        <v>878274</v>
      </c>
      <c r="C87" s="11">
        <v>0</v>
      </c>
      <c r="D87" s="11">
        <v>275095</v>
      </c>
      <c r="E87" s="11">
        <v>455076</v>
      </c>
      <c r="F87" s="11">
        <v>148103</v>
      </c>
      <c r="G87" s="11">
        <v>0</v>
      </c>
    </row>
    <row r="88" spans="1:7" ht="12.5" customHeight="1" x14ac:dyDescent="0.45">
      <c r="A88" s="10" t="s">
        <v>185</v>
      </c>
      <c r="B88" s="11">
        <v>1378555</v>
      </c>
      <c r="C88" s="11">
        <v>0</v>
      </c>
      <c r="D88" s="11">
        <v>162367</v>
      </c>
      <c r="E88" s="11">
        <v>1216188</v>
      </c>
      <c r="F88" s="11">
        <v>0</v>
      </c>
      <c r="G88" s="11">
        <v>0</v>
      </c>
    </row>
    <row r="89" spans="1:7" ht="12.5" customHeight="1" x14ac:dyDescent="0.45">
      <c r="A89" s="10" t="s">
        <v>186</v>
      </c>
      <c r="B89" s="11">
        <v>7062029</v>
      </c>
      <c r="C89" s="11">
        <v>2437885</v>
      </c>
      <c r="D89" s="11">
        <v>0</v>
      </c>
      <c r="E89" s="11">
        <v>0</v>
      </c>
      <c r="F89" s="11">
        <v>4624144</v>
      </c>
      <c r="G89" s="11">
        <v>0</v>
      </c>
    </row>
    <row r="90" spans="1:7" ht="12.5" customHeight="1" x14ac:dyDescent="0.45">
      <c r="A90" s="10" t="s">
        <v>187</v>
      </c>
      <c r="B90" s="11">
        <v>29460781</v>
      </c>
      <c r="C90" s="11">
        <v>3200893</v>
      </c>
      <c r="D90" s="11">
        <v>10537704</v>
      </c>
      <c r="E90" s="11">
        <v>11493727</v>
      </c>
      <c r="F90" s="11">
        <v>0</v>
      </c>
      <c r="G90" s="11">
        <v>4228457</v>
      </c>
    </row>
    <row r="91" spans="1:7" ht="12.5" customHeight="1" x14ac:dyDescent="0.45">
      <c r="A91" s="10" t="s">
        <v>189</v>
      </c>
      <c r="B91" s="11">
        <v>289251</v>
      </c>
      <c r="C91" s="11">
        <v>0</v>
      </c>
      <c r="D91" s="11">
        <v>99137</v>
      </c>
      <c r="E91" s="11">
        <v>91658</v>
      </c>
      <c r="F91" s="11">
        <v>98456</v>
      </c>
      <c r="G91" s="11">
        <v>0</v>
      </c>
    </row>
    <row r="92" spans="1:7" ht="12.5" customHeight="1" x14ac:dyDescent="0.45">
      <c r="A92" s="10" t="s">
        <v>191</v>
      </c>
      <c r="B92" s="11">
        <v>14582308</v>
      </c>
      <c r="C92" s="11">
        <v>145300</v>
      </c>
      <c r="D92" s="11">
        <v>6266456</v>
      </c>
      <c r="E92" s="11">
        <v>6985830</v>
      </c>
      <c r="F92" s="11">
        <v>904017</v>
      </c>
      <c r="G92" s="11">
        <v>280705</v>
      </c>
    </row>
    <row r="93" spans="1:7" ht="12.5" customHeight="1" x14ac:dyDescent="0.45">
      <c r="A93" s="10" t="s">
        <v>192</v>
      </c>
      <c r="B93" s="11">
        <v>8837430</v>
      </c>
      <c r="C93" s="11">
        <v>145300</v>
      </c>
      <c r="D93" s="11">
        <v>2610426</v>
      </c>
      <c r="E93" s="11">
        <v>5383942</v>
      </c>
      <c r="F93" s="11">
        <v>688962</v>
      </c>
      <c r="G93" s="11">
        <v>8800</v>
      </c>
    </row>
    <row r="94" spans="1:7" ht="12.5" customHeight="1" x14ac:dyDescent="0.45">
      <c r="A94" s="10" t="s">
        <v>193</v>
      </c>
      <c r="B94" s="11">
        <v>2859156</v>
      </c>
      <c r="C94" s="11">
        <v>0</v>
      </c>
      <c r="D94" s="11">
        <v>2681338</v>
      </c>
      <c r="E94" s="11">
        <v>177818</v>
      </c>
      <c r="F94" s="11">
        <v>0</v>
      </c>
      <c r="G94" s="11">
        <v>0</v>
      </c>
    </row>
    <row r="95" spans="1:7" ht="12.5" customHeight="1" x14ac:dyDescent="0.45">
      <c r="A95" s="10" t="s">
        <v>194</v>
      </c>
      <c r="B95" s="11">
        <v>2885722</v>
      </c>
      <c r="C95" s="11">
        <v>0</v>
      </c>
      <c r="D95" s="11">
        <v>974692</v>
      </c>
      <c r="E95" s="11">
        <v>1424070</v>
      </c>
      <c r="F95" s="11">
        <v>215055</v>
      </c>
      <c r="G95" s="11">
        <v>271905</v>
      </c>
    </row>
    <row r="96" spans="1:7" ht="12.5" customHeight="1" x14ac:dyDescent="0.45">
      <c r="A96" s="10" t="s">
        <v>197</v>
      </c>
      <c r="B96" s="11">
        <v>28973024</v>
      </c>
      <c r="C96" s="11">
        <v>14224000</v>
      </c>
      <c r="D96" s="11">
        <v>8790763</v>
      </c>
      <c r="E96" s="11">
        <v>5126719</v>
      </c>
      <c r="F96" s="11">
        <v>831542</v>
      </c>
      <c r="G96" s="11">
        <v>0</v>
      </c>
    </row>
    <row r="97" spans="1:7" ht="12.5" customHeight="1" x14ac:dyDescent="0.45">
      <c r="A97" s="10" t="s">
        <v>199</v>
      </c>
      <c r="B97" s="11">
        <v>64207</v>
      </c>
      <c r="C97" s="11">
        <v>0</v>
      </c>
      <c r="D97" s="11">
        <v>0</v>
      </c>
      <c r="E97" s="11">
        <v>64207</v>
      </c>
      <c r="F97" s="11">
        <v>0</v>
      </c>
      <c r="G97" s="11">
        <v>0</v>
      </c>
    </row>
    <row r="98" spans="1:7" ht="12.5" customHeight="1" x14ac:dyDescent="0.45">
      <c r="A98" s="10" t="s">
        <v>202</v>
      </c>
      <c r="B98" s="11">
        <v>4640403</v>
      </c>
      <c r="C98" s="11">
        <v>106000</v>
      </c>
      <c r="D98" s="11">
        <v>2225516</v>
      </c>
      <c r="E98" s="11">
        <v>1756000</v>
      </c>
      <c r="F98" s="11">
        <v>552887</v>
      </c>
      <c r="G98" s="11">
        <v>0</v>
      </c>
    </row>
    <row r="99" spans="1:7" ht="12.5" customHeight="1" x14ac:dyDescent="0.45">
      <c r="A99" s="10" t="s">
        <v>203</v>
      </c>
      <c r="B99" s="11">
        <v>65000</v>
      </c>
      <c r="C99" s="11">
        <v>0</v>
      </c>
      <c r="D99" s="11">
        <v>0</v>
      </c>
      <c r="E99" s="11">
        <v>65000</v>
      </c>
      <c r="F99" s="11">
        <v>0</v>
      </c>
      <c r="G99" s="11">
        <v>0</v>
      </c>
    </row>
    <row r="100" spans="1:7" ht="12.5" customHeight="1" x14ac:dyDescent="0.45">
      <c r="A100" s="10" t="s">
        <v>204</v>
      </c>
      <c r="B100" s="11">
        <v>5595000</v>
      </c>
      <c r="C100" s="11">
        <v>0</v>
      </c>
      <c r="D100" s="11">
        <v>5155000</v>
      </c>
      <c r="E100" s="11">
        <v>440000</v>
      </c>
      <c r="F100" s="11">
        <v>0</v>
      </c>
      <c r="G100" s="11">
        <v>0</v>
      </c>
    </row>
    <row r="101" spans="1:7" ht="12.5" customHeight="1" x14ac:dyDescent="0.45">
      <c r="A101" s="10" t="s">
        <v>205</v>
      </c>
      <c r="B101" s="11">
        <v>13795714</v>
      </c>
      <c r="C101" s="11">
        <v>9305300</v>
      </c>
      <c r="D101" s="11">
        <v>1410247</v>
      </c>
      <c r="E101" s="11">
        <v>2801512</v>
      </c>
      <c r="F101" s="11">
        <v>278655</v>
      </c>
      <c r="G101" s="11">
        <v>0</v>
      </c>
    </row>
    <row r="102" spans="1:7" ht="12.5" customHeight="1" x14ac:dyDescent="0.45">
      <c r="A102" s="10" t="s">
        <v>207</v>
      </c>
      <c r="B102" s="11">
        <v>4812700</v>
      </c>
      <c r="C102" s="11">
        <v>4812700</v>
      </c>
      <c r="D102" s="11">
        <v>0</v>
      </c>
      <c r="E102" s="11">
        <v>0</v>
      </c>
      <c r="F102" s="11">
        <v>0</v>
      </c>
      <c r="G102" s="11">
        <v>0</v>
      </c>
    </row>
    <row r="103" spans="1:7" ht="12.5" customHeight="1" x14ac:dyDescent="0.45">
      <c r="A103" s="10" t="s">
        <v>215</v>
      </c>
      <c r="B103" s="11">
        <v>206264511</v>
      </c>
      <c r="C103" s="11">
        <v>0</v>
      </c>
      <c r="D103" s="11">
        <v>92664817</v>
      </c>
      <c r="E103" s="11">
        <v>79222923</v>
      </c>
      <c r="F103" s="11">
        <v>2069091</v>
      </c>
      <c r="G103" s="11">
        <v>32307680</v>
      </c>
    </row>
    <row r="104" spans="1:7" ht="12.5" customHeight="1" x14ac:dyDescent="0.45">
      <c r="A104" s="10" t="s">
        <v>216</v>
      </c>
      <c r="B104" s="11">
        <v>85558420</v>
      </c>
      <c r="C104" s="11">
        <v>0</v>
      </c>
      <c r="D104" s="11">
        <v>57723390</v>
      </c>
      <c r="E104" s="11">
        <v>27835030</v>
      </c>
      <c r="F104" s="11">
        <v>0</v>
      </c>
      <c r="G104" s="11">
        <v>0</v>
      </c>
    </row>
    <row r="105" spans="1:7" ht="12.5" customHeight="1" x14ac:dyDescent="0.45">
      <c r="A105" s="10" t="s">
        <v>218</v>
      </c>
      <c r="B105" s="11">
        <v>360000</v>
      </c>
      <c r="C105" s="11">
        <v>0</v>
      </c>
      <c r="D105" s="11">
        <v>0</v>
      </c>
      <c r="E105" s="11">
        <v>0</v>
      </c>
      <c r="F105" s="11">
        <v>360000</v>
      </c>
      <c r="G105" s="11">
        <v>0</v>
      </c>
    </row>
    <row r="106" spans="1:7" ht="12.5" customHeight="1" x14ac:dyDescent="0.45">
      <c r="A106" s="10" t="s">
        <v>219</v>
      </c>
      <c r="B106" s="11">
        <v>4278723</v>
      </c>
      <c r="C106" s="11">
        <v>0</v>
      </c>
      <c r="D106" s="11">
        <v>2315265</v>
      </c>
      <c r="E106" s="11">
        <v>1228458</v>
      </c>
      <c r="F106" s="11">
        <v>0</v>
      </c>
      <c r="G106" s="11">
        <v>735000</v>
      </c>
    </row>
    <row r="107" spans="1:7" ht="12.5" customHeight="1" x14ac:dyDescent="0.45">
      <c r="A107" s="10" t="s">
        <v>220</v>
      </c>
      <c r="B107" s="11">
        <v>88102900</v>
      </c>
      <c r="C107" s="11">
        <v>0</v>
      </c>
      <c r="D107" s="11">
        <v>23958900</v>
      </c>
      <c r="E107" s="11">
        <v>33306300</v>
      </c>
      <c r="F107" s="11">
        <v>0</v>
      </c>
      <c r="G107" s="11">
        <v>30837700</v>
      </c>
    </row>
    <row r="108" spans="1:7" ht="12.5" customHeight="1" x14ac:dyDescent="0.45">
      <c r="A108" s="10" t="s">
        <v>221</v>
      </c>
      <c r="B108" s="11">
        <v>1709091</v>
      </c>
      <c r="C108" s="11">
        <v>0</v>
      </c>
      <c r="D108" s="11">
        <v>0</v>
      </c>
      <c r="E108" s="11">
        <v>0</v>
      </c>
      <c r="F108" s="11">
        <v>1709091</v>
      </c>
      <c r="G108" s="11">
        <v>0</v>
      </c>
    </row>
    <row r="109" spans="1:7" ht="12.5" customHeight="1" x14ac:dyDescent="0.45">
      <c r="A109" s="10" t="s">
        <v>222</v>
      </c>
      <c r="B109" s="11">
        <v>26105377</v>
      </c>
      <c r="C109" s="11">
        <v>0</v>
      </c>
      <c r="D109" s="11">
        <v>8667262</v>
      </c>
      <c r="E109" s="11">
        <v>16853135</v>
      </c>
      <c r="F109" s="11">
        <v>0</v>
      </c>
      <c r="G109" s="11">
        <v>584980</v>
      </c>
    </row>
    <row r="110" spans="1:7" ht="12.5" customHeight="1" x14ac:dyDescent="0.45">
      <c r="A110" s="10" t="s">
        <v>224</v>
      </c>
      <c r="B110" s="11">
        <v>150000</v>
      </c>
      <c r="C110" s="11">
        <v>0</v>
      </c>
      <c r="D110" s="11">
        <v>0</v>
      </c>
      <c r="E110" s="11">
        <v>0</v>
      </c>
      <c r="F110" s="11">
        <v>0</v>
      </c>
      <c r="G110" s="11">
        <v>150000</v>
      </c>
    </row>
    <row r="111" spans="1:7" ht="12.5" customHeight="1" x14ac:dyDescent="0.45">
      <c r="A111" s="10" t="s">
        <v>227</v>
      </c>
      <c r="B111" s="11">
        <v>16810900</v>
      </c>
      <c r="C111" s="11">
        <v>0</v>
      </c>
      <c r="D111" s="11">
        <v>0</v>
      </c>
      <c r="E111" s="11">
        <v>0</v>
      </c>
      <c r="F111" s="11">
        <v>-136364</v>
      </c>
      <c r="G111" s="11">
        <v>16947264</v>
      </c>
    </row>
    <row r="112" spans="1:7" ht="12.5" customHeight="1" x14ac:dyDescent="0.45">
      <c r="A112" s="10" t="s">
        <v>232</v>
      </c>
      <c r="B112" s="11">
        <v>-136364</v>
      </c>
      <c r="C112" s="11">
        <v>0</v>
      </c>
      <c r="D112" s="11">
        <v>0</v>
      </c>
      <c r="E112" s="11">
        <v>0</v>
      </c>
      <c r="F112" s="11">
        <v>-136364</v>
      </c>
      <c r="G112" s="11">
        <v>0</v>
      </c>
    </row>
    <row r="113" spans="1:7" ht="12.5" customHeight="1" x14ac:dyDescent="0.45">
      <c r="A113" s="10" t="s">
        <v>235</v>
      </c>
      <c r="B113" s="11">
        <v>16947264</v>
      </c>
      <c r="C113" s="11">
        <v>0</v>
      </c>
      <c r="D113" s="11">
        <v>0</v>
      </c>
      <c r="E113" s="11">
        <v>0</v>
      </c>
      <c r="F113" s="11">
        <v>0</v>
      </c>
      <c r="G113" s="11">
        <v>16947264</v>
      </c>
    </row>
    <row r="114" spans="1:7" ht="12.5" customHeight="1" x14ac:dyDescent="0.45">
      <c r="A114" s="10" t="s">
        <v>253</v>
      </c>
      <c r="B114" s="11">
        <v>370610043</v>
      </c>
      <c r="C114" s="11">
        <v>-134994521</v>
      </c>
      <c r="D114" s="11">
        <v>201633114</v>
      </c>
      <c r="E114" s="11">
        <v>277454692</v>
      </c>
      <c r="F114" s="11">
        <v>55129900</v>
      </c>
      <c r="G114" s="11">
        <v>-28613142</v>
      </c>
    </row>
    <row r="115" spans="1:7" ht="12.5" customHeight="1" x14ac:dyDescent="0.45">
      <c r="A115" s="10" t="s">
        <v>254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</row>
    <row r="116" spans="1:7" ht="12.5" customHeight="1" x14ac:dyDescent="0.45">
      <c r="A116" s="10" t="s">
        <v>255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</row>
    <row r="117" spans="1:7" ht="12.5" customHeight="1" x14ac:dyDescent="0.45">
      <c r="A117" s="10" t="s">
        <v>256</v>
      </c>
      <c r="B117" s="11">
        <v>370610043</v>
      </c>
      <c r="C117" s="11">
        <v>-134994521</v>
      </c>
      <c r="D117" s="11">
        <v>201633114</v>
      </c>
      <c r="E117" s="11">
        <v>277454692</v>
      </c>
      <c r="F117" s="11">
        <v>55129900</v>
      </c>
      <c r="G117" s="11">
        <v>-28613142</v>
      </c>
    </row>
    <row r="118" spans="1:7" ht="12.5" customHeight="1" x14ac:dyDescent="0.45">
      <c r="A118" s="10" t="s">
        <v>257</v>
      </c>
      <c r="B118" s="11">
        <v>370610043</v>
      </c>
      <c r="C118" s="11">
        <v>-134994521</v>
      </c>
      <c r="D118" s="11">
        <v>201633114</v>
      </c>
      <c r="E118" s="11">
        <v>277454692</v>
      </c>
      <c r="F118" s="11">
        <v>55129900</v>
      </c>
      <c r="G118" s="11">
        <v>-28613142</v>
      </c>
    </row>
    <row r="119" spans="1:7" ht="12.5" customHeight="1" x14ac:dyDescent="0.45">
      <c r="A119" s="10" t="s">
        <v>258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 spans="1:7" ht="12.5" customHeight="1" x14ac:dyDescent="0.45">
      <c r="A120" s="10" t="s">
        <v>259</v>
      </c>
      <c r="B120" s="11">
        <v>370610043</v>
      </c>
      <c r="C120" s="11">
        <v>-134994521</v>
      </c>
      <c r="D120" s="11">
        <v>201633114</v>
      </c>
      <c r="E120" s="11">
        <v>277454692</v>
      </c>
      <c r="F120" s="11">
        <v>55129900</v>
      </c>
      <c r="G120" s="11">
        <v>-28613142</v>
      </c>
    </row>
    <row r="121" spans="1:7" ht="12.5" customHeight="1" x14ac:dyDescent="0.45">
      <c r="A121" s="10" t="s">
        <v>260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</row>
    <row r="122" spans="1:7" ht="12.5" customHeight="1" x14ac:dyDescent="0.45">
      <c r="A122" s="10" t="s">
        <v>261</v>
      </c>
      <c r="B122" s="11">
        <v>370610043</v>
      </c>
      <c r="C122" s="11">
        <v>-134994521</v>
      </c>
      <c r="D122" s="11">
        <v>201633114</v>
      </c>
      <c r="E122" s="11">
        <v>277454692</v>
      </c>
      <c r="F122" s="11">
        <v>55129900</v>
      </c>
      <c r="G122" s="11">
        <v>-28613142</v>
      </c>
    </row>
    <row r="123" spans="1:7" ht="12.5" customHeight="1" x14ac:dyDescent="0.45">
      <c r="A123" s="10" t="s">
        <v>262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</row>
    <row r="124" spans="1:7" ht="12.5" customHeight="1" x14ac:dyDescent="0.45">
      <c r="A124" s="10" t="s">
        <v>263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</row>
    <row r="125" spans="1:7" ht="12.5" customHeight="1" x14ac:dyDescent="0.45">
      <c r="A125" s="10" t="s">
        <v>264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 spans="1:7" ht="12.5" customHeight="1" x14ac:dyDescent="0.45">
      <c r="A126" s="10" t="s">
        <v>265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</row>
    <row r="127" spans="1:7" ht="12.5" customHeight="1" x14ac:dyDescent="0.45">
      <c r="A127" s="10" t="s">
        <v>266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C04F-59D0-48C2-9BE0-F07C954A4233}">
  <dimension ref="A1:G125"/>
  <sheetViews>
    <sheetView workbookViewId="0">
      <selection sqref="A1:A2"/>
    </sheetView>
  </sheetViews>
  <sheetFormatPr defaultColWidth="8.4140625" defaultRowHeight="12.5" customHeight="1" x14ac:dyDescent="0.45"/>
  <cols>
    <col min="1" max="7" width="19.6640625" style="12" customWidth="1"/>
    <col min="8" max="16384" width="8.4140625" style="12"/>
  </cols>
  <sheetData>
    <row r="1" spans="1:7" ht="12.5" customHeight="1" x14ac:dyDescent="0.45">
      <c r="A1" s="76" t="s">
        <v>0</v>
      </c>
      <c r="B1" s="76" t="s">
        <v>250</v>
      </c>
      <c r="C1" s="9" t="s">
        <v>277</v>
      </c>
      <c r="D1" s="9" t="s">
        <v>278</v>
      </c>
      <c r="E1" s="9" t="s">
        <v>279</v>
      </c>
      <c r="F1" s="9" t="s">
        <v>280</v>
      </c>
      <c r="G1" s="9" t="s">
        <v>281</v>
      </c>
    </row>
    <row r="2" spans="1:7" ht="12.5" customHeight="1" x14ac:dyDescent="0.45">
      <c r="A2" s="76" t="s">
        <v>0</v>
      </c>
      <c r="B2" s="76" t="s">
        <v>250</v>
      </c>
      <c r="C2" s="9" t="s">
        <v>282</v>
      </c>
      <c r="D2" s="9" t="s">
        <v>283</v>
      </c>
      <c r="E2" s="9" t="s">
        <v>284</v>
      </c>
      <c r="F2" s="9" t="s">
        <v>285</v>
      </c>
      <c r="G2" s="9" t="s">
        <v>286</v>
      </c>
    </row>
    <row r="3" spans="1:7" ht="12.5" customHeight="1" x14ac:dyDescent="0.45">
      <c r="A3" s="10" t="s">
        <v>251</v>
      </c>
      <c r="B3" s="11">
        <v>797926655</v>
      </c>
      <c r="C3" s="11">
        <v>-84674394</v>
      </c>
      <c r="D3" s="11">
        <v>440315084</v>
      </c>
      <c r="E3" s="11">
        <v>344720029</v>
      </c>
      <c r="F3" s="11">
        <v>122637917</v>
      </c>
      <c r="G3" s="11">
        <v>-25071981</v>
      </c>
    </row>
    <row r="4" spans="1:7" ht="12.5" customHeight="1" x14ac:dyDescent="0.45">
      <c r="A4" s="10" t="s">
        <v>1</v>
      </c>
      <c r="B4" s="11">
        <v>5970843377</v>
      </c>
      <c r="C4" s="11">
        <v>0</v>
      </c>
      <c r="D4" s="11">
        <v>3228823195</v>
      </c>
      <c r="E4" s="11">
        <v>2115775055</v>
      </c>
      <c r="F4" s="11">
        <v>458155527</v>
      </c>
      <c r="G4" s="11">
        <v>168089600</v>
      </c>
    </row>
    <row r="5" spans="1:7" ht="12.5" customHeight="1" x14ac:dyDescent="0.45">
      <c r="A5" s="10" t="s">
        <v>2</v>
      </c>
      <c r="B5" s="11">
        <v>2451033166</v>
      </c>
      <c r="C5" s="11">
        <v>0</v>
      </c>
      <c r="D5" s="11">
        <v>1517049707</v>
      </c>
      <c r="E5" s="11">
        <v>915824968</v>
      </c>
      <c r="F5" s="11">
        <v>111037</v>
      </c>
      <c r="G5" s="11">
        <v>18047454</v>
      </c>
    </row>
    <row r="6" spans="1:7" ht="12.5" customHeight="1" x14ac:dyDescent="0.45">
      <c r="A6" s="10" t="s">
        <v>3</v>
      </c>
      <c r="B6" s="11">
        <v>10925854</v>
      </c>
      <c r="C6" s="11">
        <v>0</v>
      </c>
      <c r="D6" s="11">
        <v>6407718</v>
      </c>
      <c r="E6" s="11">
        <v>4518136</v>
      </c>
      <c r="F6" s="11">
        <v>0</v>
      </c>
      <c r="G6" s="11">
        <v>0</v>
      </c>
    </row>
    <row r="7" spans="1:7" ht="12.5" customHeight="1" x14ac:dyDescent="0.45">
      <c r="A7" s="10" t="s">
        <v>6</v>
      </c>
      <c r="B7" s="11">
        <v>2269806798</v>
      </c>
      <c r="C7" s="11">
        <v>0</v>
      </c>
      <c r="D7" s="11">
        <v>1394211976</v>
      </c>
      <c r="E7" s="11">
        <v>857436331</v>
      </c>
      <c r="F7" s="11">
        <v>111037</v>
      </c>
      <c r="G7" s="11">
        <v>18047454</v>
      </c>
    </row>
    <row r="8" spans="1:7" ht="12.5" customHeight="1" x14ac:dyDescent="0.45">
      <c r="A8" s="10" t="s">
        <v>7</v>
      </c>
      <c r="B8" s="11">
        <v>67854354</v>
      </c>
      <c r="C8" s="11">
        <v>0</v>
      </c>
      <c r="D8" s="11">
        <v>48869385</v>
      </c>
      <c r="E8" s="11">
        <v>18984969</v>
      </c>
      <c r="F8" s="11">
        <v>0</v>
      </c>
      <c r="G8" s="11">
        <v>0</v>
      </c>
    </row>
    <row r="9" spans="1:7" ht="12.5" customHeight="1" x14ac:dyDescent="0.45">
      <c r="A9" s="10" t="s">
        <v>9</v>
      </c>
      <c r="B9" s="11">
        <v>102446160</v>
      </c>
      <c r="C9" s="11">
        <v>0</v>
      </c>
      <c r="D9" s="11">
        <v>67560628</v>
      </c>
      <c r="E9" s="11">
        <v>34885532</v>
      </c>
      <c r="F9" s="11">
        <v>0</v>
      </c>
      <c r="G9" s="11">
        <v>0</v>
      </c>
    </row>
    <row r="10" spans="1:7" ht="12.5" customHeight="1" x14ac:dyDescent="0.45">
      <c r="A10" s="10" t="s">
        <v>11</v>
      </c>
      <c r="B10" s="11">
        <v>3519810211</v>
      </c>
      <c r="C10" s="11">
        <v>0</v>
      </c>
      <c r="D10" s="11">
        <v>1711773488</v>
      </c>
      <c r="E10" s="11">
        <v>1199950087</v>
      </c>
      <c r="F10" s="11">
        <v>458044490</v>
      </c>
      <c r="G10" s="11">
        <v>150042146</v>
      </c>
    </row>
    <row r="11" spans="1:7" ht="12.5" customHeight="1" x14ac:dyDescent="0.45">
      <c r="A11" s="10" t="s">
        <v>12</v>
      </c>
      <c r="B11" s="11">
        <v>1862124512</v>
      </c>
      <c r="C11" s="11">
        <v>0</v>
      </c>
      <c r="D11" s="11">
        <v>1085954732</v>
      </c>
      <c r="E11" s="11">
        <v>765532698</v>
      </c>
      <c r="F11" s="11">
        <v>-90755</v>
      </c>
      <c r="G11" s="11">
        <v>10727837</v>
      </c>
    </row>
    <row r="12" spans="1:7" ht="12.5" customHeight="1" x14ac:dyDescent="0.45">
      <c r="A12" s="10" t="s">
        <v>13</v>
      </c>
      <c r="B12" s="11">
        <v>29432727</v>
      </c>
      <c r="C12" s="11">
        <v>0</v>
      </c>
      <c r="D12" s="11">
        <v>892727</v>
      </c>
      <c r="E12" s="11">
        <v>0</v>
      </c>
      <c r="F12" s="11">
        <v>0</v>
      </c>
      <c r="G12" s="11">
        <v>28540000</v>
      </c>
    </row>
    <row r="13" spans="1:7" ht="12.5" customHeight="1" x14ac:dyDescent="0.45">
      <c r="A13" s="10" t="s">
        <v>14</v>
      </c>
      <c r="B13" s="11">
        <v>623504520</v>
      </c>
      <c r="C13" s="11">
        <v>0</v>
      </c>
      <c r="D13" s="11">
        <v>319545515</v>
      </c>
      <c r="E13" s="11">
        <v>193863274</v>
      </c>
      <c r="F13" s="11">
        <v>92239614</v>
      </c>
      <c r="G13" s="11">
        <v>17856117</v>
      </c>
    </row>
    <row r="14" spans="1:7" ht="12.5" customHeight="1" x14ac:dyDescent="0.45">
      <c r="A14" s="10" t="s">
        <v>15</v>
      </c>
      <c r="B14" s="11">
        <v>19303569</v>
      </c>
      <c r="C14" s="11">
        <v>0</v>
      </c>
      <c r="D14" s="11">
        <v>11673013</v>
      </c>
      <c r="E14" s="11">
        <v>6552056</v>
      </c>
      <c r="F14" s="11">
        <v>1078500</v>
      </c>
      <c r="G14" s="11">
        <v>0</v>
      </c>
    </row>
    <row r="15" spans="1:7" ht="12.5" customHeight="1" x14ac:dyDescent="0.45">
      <c r="A15" s="10" t="s">
        <v>16</v>
      </c>
      <c r="B15" s="11">
        <v>465264102</v>
      </c>
      <c r="C15" s="11">
        <v>0</v>
      </c>
      <c r="D15" s="11">
        <v>211889311</v>
      </c>
      <c r="E15" s="11">
        <v>160456599</v>
      </c>
      <c r="F15" s="11">
        <v>0</v>
      </c>
      <c r="G15" s="11">
        <v>92918192</v>
      </c>
    </row>
    <row r="16" spans="1:7" ht="12.5" customHeight="1" x14ac:dyDescent="0.45">
      <c r="A16" s="10" t="s">
        <v>19</v>
      </c>
      <c r="B16" s="11">
        <v>19000000</v>
      </c>
      <c r="C16" s="11">
        <v>0</v>
      </c>
      <c r="D16" s="11">
        <v>0</v>
      </c>
      <c r="E16" s="11">
        <v>19000000</v>
      </c>
      <c r="F16" s="11">
        <v>0</v>
      </c>
      <c r="G16" s="11">
        <v>0</v>
      </c>
    </row>
    <row r="17" spans="1:7" ht="12.5" customHeight="1" x14ac:dyDescent="0.45">
      <c r="A17" s="10" t="s">
        <v>20</v>
      </c>
      <c r="B17" s="11">
        <v>364817131</v>
      </c>
      <c r="C17" s="11">
        <v>0</v>
      </c>
      <c r="D17" s="11">
        <v>0</v>
      </c>
      <c r="E17" s="11">
        <v>0</v>
      </c>
      <c r="F17" s="11">
        <v>364817131</v>
      </c>
      <c r="G17" s="11">
        <v>0</v>
      </c>
    </row>
    <row r="18" spans="1:7" ht="12.5" customHeight="1" x14ac:dyDescent="0.45">
      <c r="A18" s="10" t="s">
        <v>21</v>
      </c>
      <c r="B18" s="11">
        <v>136363650</v>
      </c>
      <c r="C18" s="11">
        <v>0</v>
      </c>
      <c r="D18" s="11">
        <v>81818190</v>
      </c>
      <c r="E18" s="11">
        <v>54545460</v>
      </c>
      <c r="F18" s="11">
        <v>0</v>
      </c>
      <c r="G18" s="11">
        <v>0</v>
      </c>
    </row>
    <row r="19" spans="1:7" ht="12.5" customHeight="1" x14ac:dyDescent="0.45">
      <c r="A19" s="10" t="s">
        <v>23</v>
      </c>
      <c r="B19" s="11">
        <v>2903872205</v>
      </c>
      <c r="C19" s="11">
        <v>0</v>
      </c>
      <c r="D19" s="11">
        <v>1765533445</v>
      </c>
      <c r="E19" s="11">
        <v>1115458306</v>
      </c>
      <c r="F19" s="11">
        <v>0</v>
      </c>
      <c r="G19" s="11">
        <v>22880454</v>
      </c>
    </row>
    <row r="20" spans="1:7" ht="12.5" customHeight="1" x14ac:dyDescent="0.45">
      <c r="A20" s="10" t="s">
        <v>24</v>
      </c>
      <c r="B20" s="11">
        <v>2903872205</v>
      </c>
      <c r="C20" s="11">
        <v>0</v>
      </c>
      <c r="D20" s="11">
        <v>1765533445</v>
      </c>
      <c r="E20" s="11">
        <v>1115458306</v>
      </c>
      <c r="F20" s="11">
        <v>0</v>
      </c>
      <c r="G20" s="11">
        <v>22880454</v>
      </c>
    </row>
    <row r="21" spans="1:7" ht="12.5" customHeight="1" x14ac:dyDescent="0.45">
      <c r="A21" s="10" t="s">
        <v>25</v>
      </c>
      <c r="B21" s="11">
        <v>3066971172</v>
      </c>
      <c r="C21" s="11">
        <v>0</v>
      </c>
      <c r="D21" s="11">
        <v>1463289750</v>
      </c>
      <c r="E21" s="11">
        <v>1000316749</v>
      </c>
      <c r="F21" s="11">
        <v>458155527</v>
      </c>
      <c r="G21" s="11">
        <v>145209146</v>
      </c>
    </row>
    <row r="22" spans="1:7" ht="12.5" customHeight="1" x14ac:dyDescent="0.45">
      <c r="A22" s="10" t="s">
        <v>26</v>
      </c>
      <c r="B22" s="11">
        <v>2269044517</v>
      </c>
      <c r="C22" s="11">
        <v>84674394</v>
      </c>
      <c r="D22" s="11">
        <v>1022974666</v>
      </c>
      <c r="E22" s="11">
        <v>655596720</v>
      </c>
      <c r="F22" s="11">
        <v>335517610</v>
      </c>
      <c r="G22" s="11">
        <v>170281127</v>
      </c>
    </row>
    <row r="23" spans="1:7" ht="12.5" customHeight="1" x14ac:dyDescent="0.45">
      <c r="A23" s="10" t="s">
        <v>27</v>
      </c>
      <c r="B23" s="11">
        <v>11350800</v>
      </c>
      <c r="C23" s="11">
        <v>11350800</v>
      </c>
      <c r="D23" s="11">
        <v>0</v>
      </c>
      <c r="E23" s="11">
        <v>0</v>
      </c>
      <c r="F23" s="11">
        <v>0</v>
      </c>
      <c r="G23" s="11">
        <v>0</v>
      </c>
    </row>
    <row r="24" spans="1:7" ht="12.5" customHeight="1" x14ac:dyDescent="0.45">
      <c r="A24" s="10" t="s">
        <v>28</v>
      </c>
      <c r="B24" s="11">
        <v>943585930</v>
      </c>
      <c r="C24" s="11">
        <v>24233910</v>
      </c>
      <c r="D24" s="11">
        <v>436933250</v>
      </c>
      <c r="E24" s="11">
        <v>290268900</v>
      </c>
      <c r="F24" s="11">
        <v>148959500</v>
      </c>
      <c r="G24" s="11">
        <v>43190370</v>
      </c>
    </row>
    <row r="25" spans="1:7" ht="12.5" customHeight="1" x14ac:dyDescent="0.45">
      <c r="A25" s="10" t="s">
        <v>29</v>
      </c>
      <c r="B25" s="11">
        <v>43745760</v>
      </c>
      <c r="C25" s="11">
        <v>14003510</v>
      </c>
      <c r="D25" s="11">
        <v>2486900</v>
      </c>
      <c r="E25" s="11">
        <v>7406860</v>
      </c>
      <c r="F25" s="11">
        <v>6144470</v>
      </c>
      <c r="G25" s="11">
        <v>13704020</v>
      </c>
    </row>
    <row r="26" spans="1:7" ht="12.5" customHeight="1" x14ac:dyDescent="0.45">
      <c r="A26" s="10" t="s">
        <v>30</v>
      </c>
      <c r="B26" s="11">
        <v>7985770</v>
      </c>
      <c r="C26" s="11">
        <v>2591940</v>
      </c>
      <c r="D26" s="11">
        <v>449870</v>
      </c>
      <c r="E26" s="11">
        <v>1315910</v>
      </c>
      <c r="F26" s="11">
        <v>1099980</v>
      </c>
      <c r="G26" s="11">
        <v>2528070</v>
      </c>
    </row>
    <row r="27" spans="1:7" ht="12.5" customHeight="1" x14ac:dyDescent="0.45">
      <c r="A27" s="10" t="s">
        <v>31</v>
      </c>
      <c r="B27" s="11">
        <v>1400000</v>
      </c>
      <c r="C27" s="11">
        <v>700000</v>
      </c>
      <c r="D27" s="11">
        <v>0</v>
      </c>
      <c r="E27" s="11">
        <v>0</v>
      </c>
      <c r="F27" s="11">
        <v>0</v>
      </c>
      <c r="G27" s="11">
        <v>700000</v>
      </c>
    </row>
    <row r="28" spans="1:7" ht="12.5" customHeight="1" x14ac:dyDescent="0.45">
      <c r="A28" s="10" t="s">
        <v>32</v>
      </c>
      <c r="B28" s="11">
        <v>6199250</v>
      </c>
      <c r="C28" s="11">
        <v>6199250</v>
      </c>
      <c r="D28" s="11">
        <v>0</v>
      </c>
      <c r="E28" s="11">
        <v>0</v>
      </c>
      <c r="F28" s="11">
        <v>0</v>
      </c>
      <c r="G28" s="11">
        <v>0</v>
      </c>
    </row>
    <row r="29" spans="1:7" ht="12.5" customHeight="1" x14ac:dyDescent="0.45">
      <c r="A29" s="10" t="s">
        <v>33</v>
      </c>
      <c r="B29" s="11">
        <v>1261280</v>
      </c>
      <c r="C29" s="11">
        <v>0</v>
      </c>
      <c r="D29" s="11">
        <v>160870</v>
      </c>
      <c r="E29" s="11">
        <v>706720</v>
      </c>
      <c r="F29" s="11">
        <v>393690</v>
      </c>
      <c r="G29" s="11">
        <v>0</v>
      </c>
    </row>
    <row r="30" spans="1:7" ht="12.5" customHeight="1" x14ac:dyDescent="0.45">
      <c r="A30" s="10" t="s">
        <v>34</v>
      </c>
      <c r="B30" s="11">
        <v>39210</v>
      </c>
      <c r="C30" s="11">
        <v>39210</v>
      </c>
      <c r="D30" s="11">
        <v>0</v>
      </c>
      <c r="E30" s="11">
        <v>0</v>
      </c>
      <c r="F30" s="11">
        <v>0</v>
      </c>
      <c r="G30" s="11">
        <v>0</v>
      </c>
    </row>
    <row r="31" spans="1:7" ht="12.5" customHeight="1" x14ac:dyDescent="0.45">
      <c r="A31" s="10" t="s">
        <v>35</v>
      </c>
      <c r="B31" s="11">
        <v>17241520</v>
      </c>
      <c r="C31" s="11">
        <v>0</v>
      </c>
      <c r="D31" s="11">
        <v>17241520</v>
      </c>
      <c r="E31" s="11">
        <v>0</v>
      </c>
      <c r="F31" s="11">
        <v>0</v>
      </c>
      <c r="G31" s="11">
        <v>0</v>
      </c>
    </row>
    <row r="32" spans="1:7" ht="12.5" customHeight="1" x14ac:dyDescent="0.45">
      <c r="A32" s="10" t="s">
        <v>36</v>
      </c>
      <c r="B32" s="11">
        <v>2918160</v>
      </c>
      <c r="C32" s="11">
        <v>0</v>
      </c>
      <c r="D32" s="11">
        <v>2918160</v>
      </c>
      <c r="E32" s="11">
        <v>0</v>
      </c>
      <c r="F32" s="11">
        <v>0</v>
      </c>
      <c r="G32" s="11">
        <v>0</v>
      </c>
    </row>
    <row r="33" spans="1:7" ht="12.5" customHeight="1" x14ac:dyDescent="0.45">
      <c r="A33" s="10" t="s">
        <v>41</v>
      </c>
      <c r="B33" s="11">
        <v>1940000</v>
      </c>
      <c r="C33" s="11">
        <v>700000</v>
      </c>
      <c r="D33" s="11">
        <v>155000</v>
      </c>
      <c r="E33" s="11">
        <v>310000</v>
      </c>
      <c r="F33" s="11">
        <v>310000</v>
      </c>
      <c r="G33" s="11">
        <v>465000</v>
      </c>
    </row>
    <row r="34" spans="1:7" ht="12.5" customHeight="1" x14ac:dyDescent="0.45">
      <c r="A34" s="10" t="s">
        <v>43</v>
      </c>
      <c r="B34" s="11">
        <v>1240000</v>
      </c>
      <c r="C34" s="11">
        <v>0</v>
      </c>
      <c r="D34" s="11">
        <v>1240000</v>
      </c>
      <c r="E34" s="11">
        <v>0</v>
      </c>
      <c r="F34" s="11">
        <v>0</v>
      </c>
      <c r="G34" s="11">
        <v>0</v>
      </c>
    </row>
    <row r="35" spans="1:7" ht="12.5" customHeight="1" x14ac:dyDescent="0.45">
      <c r="A35" s="10" t="s">
        <v>46</v>
      </c>
      <c r="B35" s="11">
        <v>672319370</v>
      </c>
      <c r="C35" s="11">
        <v>0</v>
      </c>
      <c r="D35" s="11">
        <v>322743320</v>
      </c>
      <c r="E35" s="11">
        <v>219467950</v>
      </c>
      <c r="F35" s="11">
        <v>109244720</v>
      </c>
      <c r="G35" s="11">
        <v>20863380</v>
      </c>
    </row>
    <row r="36" spans="1:7" ht="12.5" customHeight="1" x14ac:dyDescent="0.45">
      <c r="A36" s="10" t="s">
        <v>47</v>
      </c>
      <c r="B36" s="11">
        <v>114923290</v>
      </c>
      <c r="C36" s="11">
        <v>0</v>
      </c>
      <c r="D36" s="11">
        <v>54778460</v>
      </c>
      <c r="E36" s="11">
        <v>37456970</v>
      </c>
      <c r="F36" s="11">
        <v>19152960</v>
      </c>
      <c r="G36" s="11">
        <v>3534900</v>
      </c>
    </row>
    <row r="37" spans="1:7" ht="12.5" customHeight="1" x14ac:dyDescent="0.45">
      <c r="A37" s="10" t="s">
        <v>48</v>
      </c>
      <c r="B37" s="11">
        <v>23600010</v>
      </c>
      <c r="C37" s="11">
        <v>0</v>
      </c>
      <c r="D37" s="11">
        <v>11700010</v>
      </c>
      <c r="E37" s="11">
        <v>7900000</v>
      </c>
      <c r="F37" s="11">
        <v>4000000</v>
      </c>
      <c r="G37" s="11">
        <v>0</v>
      </c>
    </row>
    <row r="38" spans="1:7" ht="12.5" customHeight="1" x14ac:dyDescent="0.45">
      <c r="A38" s="10" t="s">
        <v>49</v>
      </c>
      <c r="B38" s="11">
        <v>45625000</v>
      </c>
      <c r="C38" s="11">
        <v>0</v>
      </c>
      <c r="D38" s="11">
        <v>22060000</v>
      </c>
      <c r="E38" s="11">
        <v>14960000</v>
      </c>
      <c r="F38" s="11">
        <v>7210000</v>
      </c>
      <c r="G38" s="11">
        <v>1395000</v>
      </c>
    </row>
    <row r="39" spans="1:7" ht="12.5" customHeight="1" x14ac:dyDescent="0.45">
      <c r="A39" s="10" t="s">
        <v>50</v>
      </c>
      <c r="B39" s="11">
        <v>20000</v>
      </c>
      <c r="C39" s="11">
        <v>0</v>
      </c>
      <c r="D39" s="11">
        <v>20000</v>
      </c>
      <c r="E39" s="11">
        <v>0</v>
      </c>
      <c r="F39" s="11">
        <v>0</v>
      </c>
      <c r="G39" s="11">
        <v>0</v>
      </c>
    </row>
    <row r="40" spans="1:7" ht="12.5" customHeight="1" x14ac:dyDescent="0.45">
      <c r="A40" s="10" t="s">
        <v>52</v>
      </c>
      <c r="B40" s="11">
        <v>942080</v>
      </c>
      <c r="C40" s="11">
        <v>0</v>
      </c>
      <c r="D40" s="11">
        <v>0</v>
      </c>
      <c r="E40" s="11">
        <v>0</v>
      </c>
      <c r="F40" s="11">
        <v>942080</v>
      </c>
      <c r="G40" s="11">
        <v>0</v>
      </c>
    </row>
    <row r="41" spans="1:7" ht="12.5" customHeight="1" x14ac:dyDescent="0.45">
      <c r="A41" s="10" t="s">
        <v>56</v>
      </c>
      <c r="B41" s="11">
        <v>2185230</v>
      </c>
      <c r="C41" s="11">
        <v>0</v>
      </c>
      <c r="D41" s="11">
        <v>979140</v>
      </c>
      <c r="E41" s="11">
        <v>744490</v>
      </c>
      <c r="F41" s="11">
        <v>461600</v>
      </c>
      <c r="G41" s="11">
        <v>0</v>
      </c>
    </row>
    <row r="42" spans="1:7" ht="12.5" customHeight="1" x14ac:dyDescent="0.45">
      <c r="A42" s="10" t="s">
        <v>61</v>
      </c>
      <c r="B42" s="11">
        <v>364761570</v>
      </c>
      <c r="C42" s="11">
        <v>18846250</v>
      </c>
      <c r="D42" s="11">
        <v>170299240</v>
      </c>
      <c r="E42" s="11">
        <v>95999390</v>
      </c>
      <c r="F42" s="11">
        <v>57005380</v>
      </c>
      <c r="G42" s="11">
        <v>22611310</v>
      </c>
    </row>
    <row r="43" spans="1:7" ht="12.5" customHeight="1" x14ac:dyDescent="0.45">
      <c r="A43" s="10" t="s">
        <v>62</v>
      </c>
      <c r="B43" s="11">
        <v>50173930</v>
      </c>
      <c r="C43" s="11">
        <v>18846250</v>
      </c>
      <c r="D43" s="11">
        <v>2931790</v>
      </c>
      <c r="E43" s="11">
        <v>8262900</v>
      </c>
      <c r="F43" s="11">
        <v>6555380</v>
      </c>
      <c r="G43" s="11">
        <v>13577610</v>
      </c>
    </row>
    <row r="44" spans="1:7" ht="12.5" customHeight="1" x14ac:dyDescent="0.45">
      <c r="A44" s="10" t="s">
        <v>65</v>
      </c>
      <c r="B44" s="11">
        <v>1000000</v>
      </c>
      <c r="C44" s="11">
        <v>0</v>
      </c>
      <c r="D44" s="11">
        <v>1000000</v>
      </c>
      <c r="E44" s="11">
        <v>0</v>
      </c>
      <c r="F44" s="11">
        <v>0</v>
      </c>
      <c r="G44" s="11">
        <v>0</v>
      </c>
    </row>
    <row r="45" spans="1:7" ht="12.5" customHeight="1" x14ac:dyDescent="0.45">
      <c r="A45" s="10" t="s">
        <v>66</v>
      </c>
      <c r="B45" s="11">
        <v>313587640</v>
      </c>
      <c r="C45" s="11">
        <v>0</v>
      </c>
      <c r="D45" s="11">
        <v>166367450</v>
      </c>
      <c r="E45" s="11">
        <v>87736490</v>
      </c>
      <c r="F45" s="11">
        <v>50450000</v>
      </c>
      <c r="G45" s="11">
        <v>9033700</v>
      </c>
    </row>
    <row r="46" spans="1:7" ht="12.5" customHeight="1" x14ac:dyDescent="0.45">
      <c r="A46" s="10" t="s">
        <v>69</v>
      </c>
      <c r="B46" s="11">
        <v>109155876</v>
      </c>
      <c r="C46" s="11">
        <v>2927673</v>
      </c>
      <c r="D46" s="11">
        <v>53598914</v>
      </c>
      <c r="E46" s="11">
        <v>31613074</v>
      </c>
      <c r="F46" s="11">
        <v>15816939</v>
      </c>
      <c r="G46" s="11">
        <v>5199276</v>
      </c>
    </row>
    <row r="47" spans="1:7" ht="12.5" customHeight="1" x14ac:dyDescent="0.45">
      <c r="A47" s="10" t="s">
        <v>70</v>
      </c>
      <c r="B47" s="11">
        <v>109155876</v>
      </c>
      <c r="C47" s="11">
        <v>2927673</v>
      </c>
      <c r="D47" s="11">
        <v>53598914</v>
      </c>
      <c r="E47" s="11">
        <v>31613074</v>
      </c>
      <c r="F47" s="11">
        <v>15816939</v>
      </c>
      <c r="G47" s="11">
        <v>5199276</v>
      </c>
    </row>
    <row r="48" spans="1:7" ht="12.5" customHeight="1" x14ac:dyDescent="0.45">
      <c r="A48" s="10" t="s">
        <v>71</v>
      </c>
      <c r="B48" s="11">
        <v>3500000</v>
      </c>
      <c r="C48" s="11">
        <v>0</v>
      </c>
      <c r="D48" s="11">
        <v>2500000</v>
      </c>
      <c r="E48" s="11">
        <v>500000</v>
      </c>
      <c r="F48" s="11">
        <v>500000</v>
      </c>
      <c r="G48" s="11">
        <v>0</v>
      </c>
    </row>
    <row r="49" spans="1:7" ht="12.5" customHeight="1" x14ac:dyDescent="0.45">
      <c r="A49" s="10" t="s">
        <v>252</v>
      </c>
      <c r="B49" s="11">
        <v>3500000</v>
      </c>
      <c r="C49" s="11">
        <v>0</v>
      </c>
      <c r="D49" s="11">
        <v>2500000</v>
      </c>
      <c r="E49" s="11">
        <v>500000</v>
      </c>
      <c r="F49" s="11">
        <v>500000</v>
      </c>
      <c r="G49" s="11">
        <v>0</v>
      </c>
    </row>
    <row r="50" spans="1:7" ht="12.5" customHeight="1" x14ac:dyDescent="0.45">
      <c r="A50" s="10" t="s">
        <v>72</v>
      </c>
      <c r="B50" s="11">
        <v>324057584</v>
      </c>
      <c r="C50" s="11">
        <v>7133004</v>
      </c>
      <c r="D50" s="11">
        <v>143953515</v>
      </c>
      <c r="E50" s="11">
        <v>81343633</v>
      </c>
      <c r="F50" s="11">
        <v>41534874</v>
      </c>
      <c r="G50" s="11">
        <v>50092558</v>
      </c>
    </row>
    <row r="51" spans="1:7" ht="12.5" customHeight="1" x14ac:dyDescent="0.45">
      <c r="A51" s="10" t="s">
        <v>74</v>
      </c>
      <c r="B51" s="11">
        <v>9981412</v>
      </c>
      <c r="C51" s="11">
        <v>372634</v>
      </c>
      <c r="D51" s="11">
        <v>4545881</v>
      </c>
      <c r="E51" s="11">
        <v>2834184</v>
      </c>
      <c r="F51" s="11">
        <v>1511475</v>
      </c>
      <c r="G51" s="11">
        <v>717238</v>
      </c>
    </row>
    <row r="52" spans="1:7" ht="12.5" customHeight="1" x14ac:dyDescent="0.45">
      <c r="A52" s="10" t="s">
        <v>75</v>
      </c>
      <c r="B52" s="11">
        <v>50888420</v>
      </c>
      <c r="C52" s="11">
        <v>1364880</v>
      </c>
      <c r="D52" s="11">
        <v>24987790</v>
      </c>
      <c r="E52" s="11">
        <v>14738000</v>
      </c>
      <c r="F52" s="11">
        <v>7373850</v>
      </c>
      <c r="G52" s="11">
        <v>2423900</v>
      </c>
    </row>
    <row r="53" spans="1:7" ht="12.5" customHeight="1" x14ac:dyDescent="0.45">
      <c r="A53" s="10" t="s">
        <v>76</v>
      </c>
      <c r="B53" s="11">
        <v>54515060</v>
      </c>
      <c r="C53" s="11">
        <v>1031490</v>
      </c>
      <c r="D53" s="11">
        <v>28521340</v>
      </c>
      <c r="E53" s="11">
        <v>15376460</v>
      </c>
      <c r="F53" s="11">
        <v>7585190</v>
      </c>
      <c r="G53" s="11">
        <v>2000580</v>
      </c>
    </row>
    <row r="54" spans="1:7" ht="12.5" customHeight="1" x14ac:dyDescent="0.45">
      <c r="A54" s="10" t="s">
        <v>77</v>
      </c>
      <c r="B54" s="11">
        <v>18602963</v>
      </c>
      <c r="C54" s="11">
        <v>694500</v>
      </c>
      <c r="D54" s="11">
        <v>8472433</v>
      </c>
      <c r="E54" s="11">
        <v>5282240</v>
      </c>
      <c r="F54" s="11">
        <v>2817029</v>
      </c>
      <c r="G54" s="11">
        <v>1336761</v>
      </c>
    </row>
    <row r="55" spans="1:7" ht="12.5" customHeight="1" x14ac:dyDescent="0.45">
      <c r="A55" s="10" t="s">
        <v>79</v>
      </c>
      <c r="B55" s="11">
        <v>113795563</v>
      </c>
      <c r="C55" s="11">
        <v>247500</v>
      </c>
      <c r="D55" s="11">
        <v>60934098</v>
      </c>
      <c r="E55" s="11">
        <v>30472365</v>
      </c>
      <c r="F55" s="11">
        <v>21241600</v>
      </c>
      <c r="G55" s="11">
        <v>900000</v>
      </c>
    </row>
    <row r="56" spans="1:7" ht="12.5" customHeight="1" x14ac:dyDescent="0.45">
      <c r="A56" s="10" t="s">
        <v>80</v>
      </c>
      <c r="B56" s="11">
        <v>6545000</v>
      </c>
      <c r="C56" s="11">
        <v>1845000</v>
      </c>
      <c r="D56" s="11">
        <v>460000</v>
      </c>
      <c r="E56" s="11">
        <v>3440000</v>
      </c>
      <c r="F56" s="11">
        <v>800000</v>
      </c>
      <c r="G56" s="11">
        <v>0</v>
      </c>
    </row>
    <row r="57" spans="1:7" ht="12.5" customHeight="1" x14ac:dyDescent="0.45">
      <c r="A57" s="10" t="s">
        <v>81</v>
      </c>
      <c r="B57" s="11">
        <v>1577000</v>
      </c>
      <c r="C57" s="11">
        <v>1577000</v>
      </c>
      <c r="D57" s="11">
        <v>0</v>
      </c>
      <c r="E57" s="11">
        <v>0</v>
      </c>
      <c r="F57" s="11">
        <v>0</v>
      </c>
      <c r="G57" s="11">
        <v>0</v>
      </c>
    </row>
    <row r="58" spans="1:7" ht="12.5" customHeight="1" x14ac:dyDescent="0.45">
      <c r="A58" s="10" t="s">
        <v>82</v>
      </c>
      <c r="B58" s="11">
        <v>1576105</v>
      </c>
      <c r="C58" s="11">
        <v>0</v>
      </c>
      <c r="D58" s="11">
        <v>764981</v>
      </c>
      <c r="E58" s="11">
        <v>605394</v>
      </c>
      <c r="F58" s="11">
        <v>205730</v>
      </c>
      <c r="G58" s="11">
        <v>0</v>
      </c>
    </row>
    <row r="59" spans="1:7" ht="12.5" customHeight="1" x14ac:dyDescent="0.45">
      <c r="A59" s="10" t="s">
        <v>107</v>
      </c>
      <c r="B59" s="11">
        <v>66576061</v>
      </c>
      <c r="C59" s="11">
        <v>0</v>
      </c>
      <c r="D59" s="11">
        <v>15266992</v>
      </c>
      <c r="E59" s="11">
        <v>8594990</v>
      </c>
      <c r="F59" s="11">
        <v>0</v>
      </c>
      <c r="G59" s="11">
        <v>42714079</v>
      </c>
    </row>
    <row r="60" spans="1:7" ht="12.5" customHeight="1" x14ac:dyDescent="0.45">
      <c r="A60" s="10" t="s">
        <v>113</v>
      </c>
      <c r="B60" s="11">
        <v>1717800</v>
      </c>
      <c r="C60" s="11">
        <v>0</v>
      </c>
      <c r="D60" s="11">
        <v>789000</v>
      </c>
      <c r="E60" s="11">
        <v>590800</v>
      </c>
      <c r="F60" s="11">
        <v>84000</v>
      </c>
      <c r="G60" s="11">
        <v>254000</v>
      </c>
    </row>
    <row r="61" spans="1:7" ht="12.5" customHeight="1" x14ac:dyDescent="0.45">
      <c r="A61" s="10" t="s">
        <v>114</v>
      </c>
      <c r="B61" s="11">
        <v>178000</v>
      </c>
      <c r="C61" s="11">
        <v>0</v>
      </c>
      <c r="D61" s="11">
        <v>0</v>
      </c>
      <c r="E61" s="11">
        <v>70000</v>
      </c>
      <c r="F61" s="11">
        <v>0</v>
      </c>
      <c r="G61" s="11">
        <v>108000</v>
      </c>
    </row>
    <row r="62" spans="1:7" ht="12.5" customHeight="1" x14ac:dyDescent="0.45">
      <c r="A62" s="10" t="s">
        <v>117</v>
      </c>
      <c r="B62" s="11">
        <v>1539800</v>
      </c>
      <c r="C62" s="11">
        <v>0</v>
      </c>
      <c r="D62" s="11">
        <v>789000</v>
      </c>
      <c r="E62" s="11">
        <v>520800</v>
      </c>
      <c r="F62" s="11">
        <v>84000</v>
      </c>
      <c r="G62" s="11">
        <v>146000</v>
      </c>
    </row>
    <row r="63" spans="1:7" ht="12.5" customHeight="1" x14ac:dyDescent="0.45">
      <c r="A63" s="10" t="s">
        <v>120</v>
      </c>
      <c r="B63" s="11">
        <v>200000</v>
      </c>
      <c r="C63" s="11">
        <v>200000</v>
      </c>
      <c r="D63" s="11">
        <v>0</v>
      </c>
      <c r="E63" s="11">
        <v>0</v>
      </c>
      <c r="F63" s="11">
        <v>0</v>
      </c>
      <c r="G63" s="11">
        <v>0</v>
      </c>
    </row>
    <row r="64" spans="1:7" ht="12.5" customHeight="1" x14ac:dyDescent="0.45">
      <c r="A64" s="10" t="s">
        <v>123</v>
      </c>
      <c r="B64" s="11">
        <v>200000</v>
      </c>
      <c r="C64" s="11">
        <v>200000</v>
      </c>
      <c r="D64" s="11">
        <v>0</v>
      </c>
      <c r="E64" s="11">
        <v>0</v>
      </c>
      <c r="F64" s="11">
        <v>0</v>
      </c>
      <c r="G64" s="11">
        <v>0</v>
      </c>
    </row>
    <row r="65" spans="1:7" ht="12.5" customHeight="1" x14ac:dyDescent="0.45">
      <c r="A65" s="10" t="s">
        <v>124</v>
      </c>
      <c r="B65" s="11">
        <v>1501216</v>
      </c>
      <c r="C65" s="11">
        <v>0</v>
      </c>
      <c r="D65" s="11">
        <v>507910</v>
      </c>
      <c r="E65" s="11">
        <v>322660</v>
      </c>
      <c r="F65" s="11">
        <v>670646</v>
      </c>
      <c r="G65" s="11">
        <v>0</v>
      </c>
    </row>
    <row r="66" spans="1:7" ht="12.5" customHeight="1" x14ac:dyDescent="0.45">
      <c r="A66" s="10" t="s">
        <v>127</v>
      </c>
      <c r="B66" s="11">
        <v>550026</v>
      </c>
      <c r="C66" s="11">
        <v>0</v>
      </c>
      <c r="D66" s="11">
        <v>0</v>
      </c>
      <c r="E66" s="11">
        <v>0</v>
      </c>
      <c r="F66" s="11">
        <v>550026</v>
      </c>
      <c r="G66" s="11">
        <v>0</v>
      </c>
    </row>
    <row r="67" spans="1:7" ht="12.5" customHeight="1" x14ac:dyDescent="0.45">
      <c r="A67" s="10" t="s">
        <v>128</v>
      </c>
      <c r="B67" s="11">
        <v>951190</v>
      </c>
      <c r="C67" s="11">
        <v>0</v>
      </c>
      <c r="D67" s="11">
        <v>507910</v>
      </c>
      <c r="E67" s="11">
        <v>322660</v>
      </c>
      <c r="F67" s="11">
        <v>120620</v>
      </c>
      <c r="G67" s="11">
        <v>0</v>
      </c>
    </row>
    <row r="68" spans="1:7" ht="12.5" customHeight="1" x14ac:dyDescent="0.45">
      <c r="A68" s="10" t="s">
        <v>131</v>
      </c>
      <c r="B68" s="11">
        <v>12035134</v>
      </c>
      <c r="C68" s="11">
        <v>0</v>
      </c>
      <c r="D68" s="11">
        <v>7262442</v>
      </c>
      <c r="E68" s="11">
        <v>4772692</v>
      </c>
      <c r="F68" s="11">
        <v>0</v>
      </c>
      <c r="G68" s="11">
        <v>0</v>
      </c>
    </row>
    <row r="69" spans="1:7" ht="12.5" customHeight="1" x14ac:dyDescent="0.45">
      <c r="A69" s="10" t="s">
        <v>132</v>
      </c>
      <c r="B69" s="11">
        <v>12035134</v>
      </c>
      <c r="C69" s="11">
        <v>0</v>
      </c>
      <c r="D69" s="11">
        <v>7262442</v>
      </c>
      <c r="E69" s="11">
        <v>4772692</v>
      </c>
      <c r="F69" s="11">
        <v>0</v>
      </c>
      <c r="G69" s="11">
        <v>0</v>
      </c>
    </row>
    <row r="70" spans="1:7" ht="12.5" customHeight="1" x14ac:dyDescent="0.45">
      <c r="A70" s="10" t="s">
        <v>139</v>
      </c>
      <c r="B70" s="11">
        <v>3155000</v>
      </c>
      <c r="C70" s="11">
        <v>3155000</v>
      </c>
      <c r="D70" s="11">
        <v>0</v>
      </c>
      <c r="E70" s="11">
        <v>0</v>
      </c>
      <c r="F70" s="11">
        <v>0</v>
      </c>
      <c r="G70" s="11">
        <v>0</v>
      </c>
    </row>
    <row r="71" spans="1:7" ht="12.5" customHeight="1" x14ac:dyDescent="0.45">
      <c r="A71" s="10" t="s">
        <v>140</v>
      </c>
      <c r="B71" s="11">
        <v>121010993</v>
      </c>
      <c r="C71" s="11">
        <v>1802700</v>
      </c>
      <c r="D71" s="11">
        <v>51214699</v>
      </c>
      <c r="E71" s="11">
        <v>21411813</v>
      </c>
      <c r="F71" s="11">
        <v>44964781</v>
      </c>
      <c r="G71" s="11">
        <v>1617000</v>
      </c>
    </row>
    <row r="72" spans="1:7" ht="12.5" customHeight="1" x14ac:dyDescent="0.45">
      <c r="A72" s="10" t="s">
        <v>141</v>
      </c>
      <c r="B72" s="11">
        <v>21660000</v>
      </c>
      <c r="C72" s="11">
        <v>0</v>
      </c>
      <c r="D72" s="11">
        <v>2695000</v>
      </c>
      <c r="E72" s="11">
        <v>2156000</v>
      </c>
      <c r="F72" s="11">
        <v>15192000</v>
      </c>
      <c r="G72" s="11">
        <v>1617000</v>
      </c>
    </row>
    <row r="73" spans="1:7" ht="12.5" customHeight="1" x14ac:dyDescent="0.45">
      <c r="A73" s="10" t="s">
        <v>143</v>
      </c>
      <c r="B73" s="11">
        <v>57164077</v>
      </c>
      <c r="C73" s="11">
        <v>0</v>
      </c>
      <c r="D73" s="11">
        <v>22852600</v>
      </c>
      <c r="E73" s="11">
        <v>7497500</v>
      </c>
      <c r="F73" s="11">
        <v>26813977</v>
      </c>
      <c r="G73" s="11">
        <v>0</v>
      </c>
    </row>
    <row r="74" spans="1:7" ht="12.5" customHeight="1" x14ac:dyDescent="0.45">
      <c r="A74" s="10" t="s">
        <v>144</v>
      </c>
      <c r="B74" s="11">
        <v>42186916</v>
      </c>
      <c r="C74" s="11">
        <v>1802700</v>
      </c>
      <c r="D74" s="11">
        <v>25667099</v>
      </c>
      <c r="E74" s="11">
        <v>11758313</v>
      </c>
      <c r="F74" s="11">
        <v>2958804</v>
      </c>
      <c r="G74" s="11">
        <v>0</v>
      </c>
    </row>
    <row r="75" spans="1:7" ht="12.5" customHeight="1" x14ac:dyDescent="0.45">
      <c r="A75" s="10" t="s">
        <v>149</v>
      </c>
      <c r="B75" s="11">
        <v>-164662</v>
      </c>
      <c r="C75" s="11">
        <v>0</v>
      </c>
      <c r="D75" s="11">
        <v>-112030</v>
      </c>
      <c r="E75" s="11">
        <v>-104408</v>
      </c>
      <c r="F75" s="11">
        <v>51776</v>
      </c>
      <c r="G75" s="11">
        <v>0</v>
      </c>
    </row>
    <row r="76" spans="1:7" ht="12.5" customHeight="1" x14ac:dyDescent="0.45">
      <c r="A76" s="10" t="s">
        <v>151</v>
      </c>
      <c r="B76" s="11">
        <v>-164662</v>
      </c>
      <c r="C76" s="11">
        <v>0</v>
      </c>
      <c r="D76" s="11">
        <v>-112030</v>
      </c>
      <c r="E76" s="11">
        <v>-104408</v>
      </c>
      <c r="F76" s="11">
        <v>51776</v>
      </c>
      <c r="G76" s="11">
        <v>0</v>
      </c>
    </row>
    <row r="77" spans="1:7" ht="12.5" customHeight="1" x14ac:dyDescent="0.45">
      <c r="A77" s="10" t="s">
        <v>154</v>
      </c>
      <c r="B77" s="11">
        <v>12792260</v>
      </c>
      <c r="C77" s="11">
        <v>1832728</v>
      </c>
      <c r="D77" s="11">
        <v>1480388</v>
      </c>
      <c r="E77" s="11">
        <v>1179453</v>
      </c>
      <c r="F77" s="11">
        <v>6347987</v>
      </c>
      <c r="G77" s="11">
        <v>1951704</v>
      </c>
    </row>
    <row r="78" spans="1:7" ht="12.5" customHeight="1" x14ac:dyDescent="0.45">
      <c r="A78" s="10" t="s">
        <v>155</v>
      </c>
      <c r="B78" s="11">
        <v>4500198</v>
      </c>
      <c r="C78" s="11">
        <v>1578728</v>
      </c>
      <c r="D78" s="11">
        <v>521690</v>
      </c>
      <c r="E78" s="11">
        <v>615700</v>
      </c>
      <c r="F78" s="11">
        <v>1729130</v>
      </c>
      <c r="G78" s="11">
        <v>54950</v>
      </c>
    </row>
    <row r="79" spans="1:7" ht="12.5" customHeight="1" x14ac:dyDescent="0.45">
      <c r="A79" s="10" t="s">
        <v>156</v>
      </c>
      <c r="B79" s="11">
        <v>254000</v>
      </c>
      <c r="C79" s="11">
        <v>254000</v>
      </c>
      <c r="D79" s="11">
        <v>0</v>
      </c>
      <c r="E79" s="11">
        <v>0</v>
      </c>
      <c r="F79" s="11">
        <v>0</v>
      </c>
      <c r="G79" s="11">
        <v>0</v>
      </c>
    </row>
    <row r="80" spans="1:7" ht="12.5" customHeight="1" x14ac:dyDescent="0.45">
      <c r="A80" s="10" t="s">
        <v>157</v>
      </c>
      <c r="B80" s="11">
        <v>1845700</v>
      </c>
      <c r="C80" s="11">
        <v>0</v>
      </c>
      <c r="D80" s="11">
        <v>227000</v>
      </c>
      <c r="E80" s="11">
        <v>0</v>
      </c>
      <c r="F80" s="11">
        <v>118000</v>
      </c>
      <c r="G80" s="11">
        <v>1500700</v>
      </c>
    </row>
    <row r="81" spans="1:7" ht="12.5" customHeight="1" x14ac:dyDescent="0.45">
      <c r="A81" s="10" t="s">
        <v>158</v>
      </c>
      <c r="B81" s="11">
        <v>6192362</v>
      </c>
      <c r="C81" s="11">
        <v>0</v>
      </c>
      <c r="D81" s="11">
        <v>731698</v>
      </c>
      <c r="E81" s="11">
        <v>563753</v>
      </c>
      <c r="F81" s="11">
        <v>4500857</v>
      </c>
      <c r="G81" s="11">
        <v>396054</v>
      </c>
    </row>
    <row r="82" spans="1:7" ht="12.5" customHeight="1" x14ac:dyDescent="0.45">
      <c r="A82" s="10" t="s">
        <v>162</v>
      </c>
      <c r="B82" s="11">
        <v>30487500</v>
      </c>
      <c r="C82" s="11">
        <v>0</v>
      </c>
      <c r="D82" s="11">
        <v>11460500</v>
      </c>
      <c r="E82" s="11">
        <v>8069000</v>
      </c>
      <c r="F82" s="11">
        <v>10883000</v>
      </c>
      <c r="G82" s="11">
        <v>75000</v>
      </c>
    </row>
    <row r="83" spans="1:7" ht="12.5" customHeight="1" x14ac:dyDescent="0.45">
      <c r="A83" s="10" t="s">
        <v>164</v>
      </c>
      <c r="B83" s="11">
        <v>30487500</v>
      </c>
      <c r="C83" s="11">
        <v>0</v>
      </c>
      <c r="D83" s="11">
        <v>11460500</v>
      </c>
      <c r="E83" s="11">
        <v>8069000</v>
      </c>
      <c r="F83" s="11">
        <v>10883000</v>
      </c>
      <c r="G83" s="11">
        <v>75000</v>
      </c>
    </row>
    <row r="84" spans="1:7" ht="12.5" customHeight="1" x14ac:dyDescent="0.45">
      <c r="A84" s="10" t="s">
        <v>169</v>
      </c>
      <c r="B84" s="11">
        <v>1146364</v>
      </c>
      <c r="C84" s="11">
        <v>0</v>
      </c>
      <c r="D84" s="11">
        <v>317273</v>
      </c>
      <c r="E84" s="11">
        <v>780545</v>
      </c>
      <c r="F84" s="11">
        <v>48546</v>
      </c>
      <c r="G84" s="11">
        <v>0</v>
      </c>
    </row>
    <row r="85" spans="1:7" ht="12.5" customHeight="1" x14ac:dyDescent="0.45">
      <c r="A85" s="10" t="s">
        <v>170</v>
      </c>
      <c r="B85" s="11">
        <v>48546</v>
      </c>
      <c r="C85" s="11">
        <v>0</v>
      </c>
      <c r="D85" s="11">
        <v>0</v>
      </c>
      <c r="E85" s="11">
        <v>0</v>
      </c>
      <c r="F85" s="11">
        <v>48546</v>
      </c>
      <c r="G85" s="11">
        <v>0</v>
      </c>
    </row>
    <row r="86" spans="1:7" ht="12.5" customHeight="1" x14ac:dyDescent="0.45">
      <c r="A86" s="10" t="s">
        <v>172</v>
      </c>
      <c r="B86" s="11">
        <v>1097818</v>
      </c>
      <c r="C86" s="11">
        <v>0</v>
      </c>
      <c r="D86" s="11">
        <v>317273</v>
      </c>
      <c r="E86" s="11">
        <v>780545</v>
      </c>
      <c r="F86" s="11">
        <v>0</v>
      </c>
      <c r="G86" s="11">
        <v>0</v>
      </c>
    </row>
    <row r="87" spans="1:7" ht="12.5" customHeight="1" x14ac:dyDescent="0.45">
      <c r="A87" s="10" t="s">
        <v>179</v>
      </c>
      <c r="B87" s="11">
        <v>52414294</v>
      </c>
      <c r="C87" s="11">
        <v>5185540</v>
      </c>
      <c r="D87" s="11">
        <v>21772308</v>
      </c>
      <c r="E87" s="11">
        <v>17364353</v>
      </c>
      <c r="F87" s="11">
        <v>6145311</v>
      </c>
      <c r="G87" s="11">
        <v>1946782</v>
      </c>
    </row>
    <row r="88" spans="1:7" ht="12.5" customHeight="1" x14ac:dyDescent="0.45">
      <c r="A88" s="10" t="s">
        <v>180</v>
      </c>
      <c r="B88" s="11">
        <v>14060687</v>
      </c>
      <c r="C88" s="11">
        <v>0</v>
      </c>
      <c r="D88" s="11">
        <v>6845100</v>
      </c>
      <c r="E88" s="11">
        <v>4734924</v>
      </c>
      <c r="F88" s="11">
        <v>2000745</v>
      </c>
      <c r="G88" s="11">
        <v>479918</v>
      </c>
    </row>
    <row r="89" spans="1:7" ht="12.5" customHeight="1" x14ac:dyDescent="0.45">
      <c r="A89" s="10" t="s">
        <v>182</v>
      </c>
      <c r="B89" s="11">
        <v>2470712</v>
      </c>
      <c r="C89" s="11">
        <v>1279662</v>
      </c>
      <c r="D89" s="11">
        <v>378865</v>
      </c>
      <c r="E89" s="11">
        <v>252544</v>
      </c>
      <c r="F89" s="11">
        <v>319730</v>
      </c>
      <c r="G89" s="11">
        <v>239911</v>
      </c>
    </row>
    <row r="90" spans="1:7" ht="12.5" customHeight="1" x14ac:dyDescent="0.45">
      <c r="A90" s="10" t="s">
        <v>183</v>
      </c>
      <c r="B90" s="11">
        <v>1166799</v>
      </c>
      <c r="C90" s="11">
        <v>0</v>
      </c>
      <c r="D90" s="11">
        <v>599874</v>
      </c>
      <c r="E90" s="11">
        <v>425831</v>
      </c>
      <c r="F90" s="11">
        <v>141094</v>
      </c>
      <c r="G90" s="11">
        <v>0</v>
      </c>
    </row>
    <row r="91" spans="1:7" ht="12.5" customHeight="1" x14ac:dyDescent="0.45">
      <c r="A91" s="10" t="s">
        <v>185</v>
      </c>
      <c r="B91" s="11">
        <v>2131685</v>
      </c>
      <c r="C91" s="11">
        <v>0</v>
      </c>
      <c r="D91" s="11">
        <v>0</v>
      </c>
      <c r="E91" s="11">
        <v>2131685</v>
      </c>
      <c r="F91" s="11">
        <v>0</v>
      </c>
      <c r="G91" s="11">
        <v>0</v>
      </c>
    </row>
    <row r="92" spans="1:7" ht="12.5" customHeight="1" x14ac:dyDescent="0.45">
      <c r="A92" s="10" t="s">
        <v>186</v>
      </c>
      <c r="B92" s="11">
        <v>2789182</v>
      </c>
      <c r="C92" s="11">
        <v>0</v>
      </c>
      <c r="D92" s="11">
        <v>0</v>
      </c>
      <c r="E92" s="11">
        <v>0</v>
      </c>
      <c r="F92" s="11">
        <v>2789182</v>
      </c>
      <c r="G92" s="11">
        <v>0</v>
      </c>
    </row>
    <row r="93" spans="1:7" ht="12.5" customHeight="1" x14ac:dyDescent="0.45">
      <c r="A93" s="10" t="s">
        <v>187</v>
      </c>
      <c r="B93" s="11">
        <v>29569408</v>
      </c>
      <c r="C93" s="11">
        <v>3905878</v>
      </c>
      <c r="D93" s="11">
        <v>13856741</v>
      </c>
      <c r="E93" s="11">
        <v>9783370</v>
      </c>
      <c r="F93" s="11">
        <v>796466</v>
      </c>
      <c r="G93" s="11">
        <v>1226953</v>
      </c>
    </row>
    <row r="94" spans="1:7" ht="12.5" customHeight="1" x14ac:dyDescent="0.45">
      <c r="A94" s="10" t="s">
        <v>189</v>
      </c>
      <c r="B94" s="11">
        <v>225821</v>
      </c>
      <c r="C94" s="11">
        <v>0</v>
      </c>
      <c r="D94" s="11">
        <v>91728</v>
      </c>
      <c r="E94" s="11">
        <v>35999</v>
      </c>
      <c r="F94" s="11">
        <v>98094</v>
      </c>
      <c r="G94" s="11">
        <v>0</v>
      </c>
    </row>
    <row r="95" spans="1:7" ht="12.5" customHeight="1" x14ac:dyDescent="0.45">
      <c r="A95" s="10" t="s">
        <v>191</v>
      </c>
      <c r="B95" s="11">
        <v>21491543</v>
      </c>
      <c r="C95" s="11">
        <v>140727</v>
      </c>
      <c r="D95" s="11">
        <v>10371516</v>
      </c>
      <c r="E95" s="11">
        <v>9729214</v>
      </c>
      <c r="F95" s="11">
        <v>1210996</v>
      </c>
      <c r="G95" s="11">
        <v>39090</v>
      </c>
    </row>
    <row r="96" spans="1:7" ht="12.5" customHeight="1" x14ac:dyDescent="0.45">
      <c r="A96" s="10" t="s">
        <v>192</v>
      </c>
      <c r="B96" s="11">
        <v>11361476</v>
      </c>
      <c r="C96" s="11">
        <v>71400</v>
      </c>
      <c r="D96" s="11">
        <v>5964233</v>
      </c>
      <c r="E96" s="11">
        <v>4135039</v>
      </c>
      <c r="F96" s="11">
        <v>1151714</v>
      </c>
      <c r="G96" s="11">
        <v>39090</v>
      </c>
    </row>
    <row r="97" spans="1:7" ht="12.5" customHeight="1" x14ac:dyDescent="0.45">
      <c r="A97" s="10" t="s">
        <v>193</v>
      </c>
      <c r="B97" s="11">
        <v>6940266</v>
      </c>
      <c r="C97" s="11">
        <v>0</v>
      </c>
      <c r="D97" s="11">
        <v>2823312</v>
      </c>
      <c r="E97" s="11">
        <v>4116954</v>
      </c>
      <c r="F97" s="11">
        <v>0</v>
      </c>
      <c r="G97" s="11">
        <v>0</v>
      </c>
    </row>
    <row r="98" spans="1:7" ht="12.5" customHeight="1" x14ac:dyDescent="0.45">
      <c r="A98" s="10" t="s">
        <v>194</v>
      </c>
      <c r="B98" s="11">
        <v>3189801</v>
      </c>
      <c r="C98" s="11">
        <v>69327</v>
      </c>
      <c r="D98" s="11">
        <v>1583971</v>
      </c>
      <c r="E98" s="11">
        <v>1477221</v>
      </c>
      <c r="F98" s="11">
        <v>59282</v>
      </c>
      <c r="G98" s="11">
        <v>0</v>
      </c>
    </row>
    <row r="99" spans="1:7" ht="12.5" customHeight="1" x14ac:dyDescent="0.45">
      <c r="A99" s="10" t="s">
        <v>197</v>
      </c>
      <c r="B99" s="11">
        <v>29250467</v>
      </c>
      <c r="C99" s="11">
        <v>7866062</v>
      </c>
      <c r="D99" s="11">
        <v>12016702</v>
      </c>
      <c r="E99" s="11">
        <v>8229929</v>
      </c>
      <c r="F99" s="11">
        <v>1137774</v>
      </c>
      <c r="G99" s="11">
        <v>0</v>
      </c>
    </row>
    <row r="100" spans="1:7" ht="12.5" customHeight="1" x14ac:dyDescent="0.45">
      <c r="A100" s="10" t="s">
        <v>202</v>
      </c>
      <c r="B100" s="11">
        <v>5900440</v>
      </c>
      <c r="C100" s="11">
        <v>60000</v>
      </c>
      <c r="D100" s="11">
        <v>2767203</v>
      </c>
      <c r="E100" s="11">
        <v>2473237</v>
      </c>
      <c r="F100" s="11">
        <v>600000</v>
      </c>
      <c r="G100" s="11">
        <v>0</v>
      </c>
    </row>
    <row r="101" spans="1:7" ht="12.5" customHeight="1" x14ac:dyDescent="0.45">
      <c r="A101" s="10" t="s">
        <v>204</v>
      </c>
      <c r="B101" s="11">
        <v>8800000</v>
      </c>
      <c r="C101" s="11">
        <v>0</v>
      </c>
      <c r="D101" s="11">
        <v>5240000</v>
      </c>
      <c r="E101" s="11">
        <v>3560000</v>
      </c>
      <c r="F101" s="11">
        <v>0</v>
      </c>
      <c r="G101" s="11">
        <v>0</v>
      </c>
    </row>
    <row r="102" spans="1:7" ht="12.5" customHeight="1" x14ac:dyDescent="0.45">
      <c r="A102" s="10" t="s">
        <v>205</v>
      </c>
      <c r="B102" s="11">
        <v>9495927</v>
      </c>
      <c r="C102" s="11">
        <v>2751962</v>
      </c>
      <c r="D102" s="11">
        <v>4009499</v>
      </c>
      <c r="E102" s="11">
        <v>2196692</v>
      </c>
      <c r="F102" s="11">
        <v>537774</v>
      </c>
      <c r="G102" s="11">
        <v>0</v>
      </c>
    </row>
    <row r="103" spans="1:7" ht="12.5" customHeight="1" x14ac:dyDescent="0.45">
      <c r="A103" s="10" t="s">
        <v>207</v>
      </c>
      <c r="B103" s="11">
        <v>5054100</v>
      </c>
      <c r="C103" s="11">
        <v>5054100</v>
      </c>
      <c r="D103" s="11">
        <v>0</v>
      </c>
      <c r="E103" s="11">
        <v>0</v>
      </c>
      <c r="F103" s="11">
        <v>0</v>
      </c>
      <c r="G103" s="11">
        <v>0</v>
      </c>
    </row>
    <row r="104" spans="1:7" ht="12.5" customHeight="1" x14ac:dyDescent="0.45">
      <c r="A104" s="10" t="s">
        <v>215</v>
      </c>
      <c r="B104" s="11">
        <v>195827338</v>
      </c>
      <c r="C104" s="11">
        <v>0</v>
      </c>
      <c r="D104" s="11">
        <v>98609039</v>
      </c>
      <c r="E104" s="11">
        <v>83525672</v>
      </c>
      <c r="F104" s="11">
        <v>156100</v>
      </c>
      <c r="G104" s="11">
        <v>13536527</v>
      </c>
    </row>
    <row r="105" spans="1:7" ht="12.5" customHeight="1" x14ac:dyDescent="0.45">
      <c r="A105" s="10" t="s">
        <v>216</v>
      </c>
      <c r="B105" s="11">
        <v>57534170</v>
      </c>
      <c r="C105" s="11">
        <v>0</v>
      </c>
      <c r="D105" s="11">
        <v>33142750</v>
      </c>
      <c r="E105" s="11">
        <v>24391420</v>
      </c>
      <c r="F105" s="11">
        <v>0</v>
      </c>
      <c r="G105" s="11">
        <v>0</v>
      </c>
    </row>
    <row r="106" spans="1:7" ht="12.5" customHeight="1" x14ac:dyDescent="0.45">
      <c r="A106" s="10" t="s">
        <v>218</v>
      </c>
      <c r="B106" s="11">
        <v>156100</v>
      </c>
      <c r="C106" s="11">
        <v>0</v>
      </c>
      <c r="D106" s="11">
        <v>0</v>
      </c>
      <c r="E106" s="11">
        <v>0</v>
      </c>
      <c r="F106" s="11">
        <v>156100</v>
      </c>
      <c r="G106" s="11">
        <v>0</v>
      </c>
    </row>
    <row r="107" spans="1:7" ht="12.5" customHeight="1" x14ac:dyDescent="0.45">
      <c r="A107" s="10" t="s">
        <v>219</v>
      </c>
      <c r="B107" s="11">
        <v>7874448</v>
      </c>
      <c r="C107" s="11">
        <v>0</v>
      </c>
      <c r="D107" s="11">
        <v>5083038</v>
      </c>
      <c r="E107" s="11">
        <v>2791410</v>
      </c>
      <c r="F107" s="11">
        <v>0</v>
      </c>
      <c r="G107" s="11">
        <v>0</v>
      </c>
    </row>
    <row r="108" spans="1:7" ht="12.5" customHeight="1" x14ac:dyDescent="0.45">
      <c r="A108" s="10" t="s">
        <v>220</v>
      </c>
      <c r="B108" s="11">
        <v>104696400</v>
      </c>
      <c r="C108" s="11">
        <v>0</v>
      </c>
      <c r="D108" s="11">
        <v>47757900</v>
      </c>
      <c r="E108" s="11">
        <v>43885500</v>
      </c>
      <c r="F108" s="11">
        <v>0</v>
      </c>
      <c r="G108" s="11">
        <v>13053000</v>
      </c>
    </row>
    <row r="109" spans="1:7" ht="12.5" customHeight="1" x14ac:dyDescent="0.45">
      <c r="A109" s="10" t="s">
        <v>222</v>
      </c>
      <c r="B109" s="11">
        <v>25566220</v>
      </c>
      <c r="C109" s="11">
        <v>0</v>
      </c>
      <c r="D109" s="11">
        <v>12625351</v>
      </c>
      <c r="E109" s="11">
        <v>12457342</v>
      </c>
      <c r="F109" s="11">
        <v>0</v>
      </c>
      <c r="G109" s="11">
        <v>483527</v>
      </c>
    </row>
    <row r="110" spans="1:7" ht="12.5" customHeight="1" x14ac:dyDescent="0.45">
      <c r="A110" s="10" t="s">
        <v>227</v>
      </c>
      <c r="B110" s="11">
        <v>29767510</v>
      </c>
      <c r="C110" s="11">
        <v>0</v>
      </c>
      <c r="D110" s="11">
        <v>0</v>
      </c>
      <c r="E110" s="11">
        <v>0</v>
      </c>
      <c r="F110" s="11">
        <v>0</v>
      </c>
      <c r="G110" s="11">
        <v>29767510</v>
      </c>
    </row>
    <row r="111" spans="1:7" ht="12.5" customHeight="1" x14ac:dyDescent="0.45">
      <c r="A111" s="10" t="s">
        <v>235</v>
      </c>
      <c r="B111" s="11">
        <v>29767510</v>
      </c>
      <c r="C111" s="11">
        <v>0</v>
      </c>
      <c r="D111" s="11">
        <v>0</v>
      </c>
      <c r="E111" s="11">
        <v>0</v>
      </c>
      <c r="F111" s="11">
        <v>0</v>
      </c>
      <c r="G111" s="11">
        <v>29767510</v>
      </c>
    </row>
    <row r="112" spans="1:7" ht="12.5" customHeight="1" x14ac:dyDescent="0.45">
      <c r="A112" s="10" t="s">
        <v>253</v>
      </c>
      <c r="B112" s="11">
        <v>797926655</v>
      </c>
      <c r="C112" s="11">
        <v>-84674394</v>
      </c>
      <c r="D112" s="11">
        <v>440315084</v>
      </c>
      <c r="E112" s="11">
        <v>344720029</v>
      </c>
      <c r="F112" s="11">
        <v>122637917</v>
      </c>
      <c r="G112" s="11">
        <v>-25071981</v>
      </c>
    </row>
    <row r="113" spans="1:7" ht="12.5" customHeight="1" x14ac:dyDescent="0.45">
      <c r="A113" s="10" t="s">
        <v>254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</row>
    <row r="114" spans="1:7" ht="12.5" customHeight="1" x14ac:dyDescent="0.45">
      <c r="A114" s="10" t="s">
        <v>255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</row>
    <row r="115" spans="1:7" ht="12.5" customHeight="1" x14ac:dyDescent="0.45">
      <c r="A115" s="10" t="s">
        <v>256</v>
      </c>
      <c r="B115" s="11">
        <v>797926655</v>
      </c>
      <c r="C115" s="11">
        <v>-84674394</v>
      </c>
      <c r="D115" s="11">
        <v>440315084</v>
      </c>
      <c r="E115" s="11">
        <v>344720029</v>
      </c>
      <c r="F115" s="11">
        <v>122637917</v>
      </c>
      <c r="G115" s="11">
        <v>-25071981</v>
      </c>
    </row>
    <row r="116" spans="1:7" ht="12.5" customHeight="1" x14ac:dyDescent="0.45">
      <c r="A116" s="10" t="s">
        <v>257</v>
      </c>
      <c r="B116" s="11">
        <v>797926655</v>
      </c>
      <c r="C116" s="11">
        <v>-84674394</v>
      </c>
      <c r="D116" s="11">
        <v>440315084</v>
      </c>
      <c r="E116" s="11">
        <v>344720029</v>
      </c>
      <c r="F116" s="11">
        <v>122637917</v>
      </c>
      <c r="G116" s="11">
        <v>-25071981</v>
      </c>
    </row>
    <row r="117" spans="1:7" ht="12.5" customHeight="1" x14ac:dyDescent="0.45">
      <c r="A117" s="10" t="s">
        <v>258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</row>
    <row r="118" spans="1:7" ht="12.5" customHeight="1" x14ac:dyDescent="0.45">
      <c r="A118" s="10" t="s">
        <v>259</v>
      </c>
      <c r="B118" s="11">
        <v>797926655</v>
      </c>
      <c r="C118" s="11">
        <v>-84674394</v>
      </c>
      <c r="D118" s="11">
        <v>440315084</v>
      </c>
      <c r="E118" s="11">
        <v>344720029</v>
      </c>
      <c r="F118" s="11">
        <v>122637917</v>
      </c>
      <c r="G118" s="11">
        <v>-25071981</v>
      </c>
    </row>
    <row r="119" spans="1:7" ht="12.5" customHeight="1" x14ac:dyDescent="0.45">
      <c r="A119" s="10" t="s">
        <v>260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 spans="1:7" ht="12.5" customHeight="1" x14ac:dyDescent="0.45">
      <c r="A120" s="10" t="s">
        <v>261</v>
      </c>
      <c r="B120" s="11">
        <v>797926655</v>
      </c>
      <c r="C120" s="11">
        <v>-84674394</v>
      </c>
      <c r="D120" s="11">
        <v>440315084</v>
      </c>
      <c r="E120" s="11">
        <v>344720029</v>
      </c>
      <c r="F120" s="11">
        <v>122637917</v>
      </c>
      <c r="G120" s="11">
        <v>-25071981</v>
      </c>
    </row>
    <row r="121" spans="1:7" ht="12.5" customHeight="1" x14ac:dyDescent="0.45">
      <c r="A121" s="10" t="s">
        <v>262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</row>
    <row r="122" spans="1:7" ht="12.5" customHeight="1" x14ac:dyDescent="0.45">
      <c r="A122" s="10" t="s">
        <v>263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</row>
    <row r="123" spans="1:7" ht="12.5" customHeight="1" x14ac:dyDescent="0.45">
      <c r="A123" s="10" t="s">
        <v>264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</row>
    <row r="124" spans="1:7" ht="12.5" customHeight="1" x14ac:dyDescent="0.45">
      <c r="A124" s="10" t="s">
        <v>265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</row>
    <row r="125" spans="1:7" ht="12.5" customHeight="1" x14ac:dyDescent="0.45">
      <c r="A125" s="10" t="s">
        <v>266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533D-70ED-45C2-A864-059669FC0505}">
  <dimension ref="A1:H126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287</v>
      </c>
      <c r="D1" s="9" t="s">
        <v>288</v>
      </c>
      <c r="E1" s="9" t="s">
        <v>289</v>
      </c>
      <c r="F1" s="9" t="s">
        <v>290</v>
      </c>
      <c r="G1" s="9" t="s">
        <v>291</v>
      </c>
      <c r="H1" s="9" t="s">
        <v>292</v>
      </c>
    </row>
    <row r="2" spans="1:8" ht="12.5" customHeight="1" x14ac:dyDescent="0.45">
      <c r="A2" s="76" t="s">
        <v>0</v>
      </c>
      <c r="B2" s="76" t="s">
        <v>250</v>
      </c>
      <c r="C2" s="9" t="s">
        <v>293</v>
      </c>
      <c r="D2" s="9" t="s">
        <v>294</v>
      </c>
      <c r="E2" s="9" t="s">
        <v>295</v>
      </c>
      <c r="F2" s="9" t="s">
        <v>296</v>
      </c>
      <c r="G2" s="9" t="s">
        <v>297</v>
      </c>
      <c r="H2" s="9" t="s">
        <v>298</v>
      </c>
    </row>
    <row r="3" spans="1:8" ht="12.5" customHeight="1" x14ac:dyDescent="0.45">
      <c r="A3" s="10" t="s">
        <v>251</v>
      </c>
      <c r="B3" s="11">
        <v>941911794</v>
      </c>
      <c r="C3" s="11">
        <v>-76860219</v>
      </c>
      <c r="D3" s="11">
        <v>555243818</v>
      </c>
      <c r="E3" s="11">
        <v>271536448</v>
      </c>
      <c r="F3" s="11">
        <v>164236790</v>
      </c>
      <c r="G3" s="11">
        <v>93863518</v>
      </c>
      <c r="H3" s="11">
        <v>-66108561</v>
      </c>
    </row>
    <row r="4" spans="1:8" ht="12.5" customHeight="1" x14ac:dyDescent="0.45">
      <c r="A4" s="10" t="s">
        <v>1</v>
      </c>
      <c r="B4" s="11">
        <v>6778217809</v>
      </c>
      <c r="C4" s="11">
        <v>0</v>
      </c>
      <c r="D4" s="11">
        <v>3038681723</v>
      </c>
      <c r="E4" s="11">
        <v>2514481059</v>
      </c>
      <c r="F4" s="11">
        <v>618710319</v>
      </c>
      <c r="G4" s="11">
        <v>430872890</v>
      </c>
      <c r="H4" s="11">
        <v>175471818</v>
      </c>
    </row>
    <row r="5" spans="1:8" ht="12.5" customHeight="1" x14ac:dyDescent="0.45">
      <c r="A5" s="10" t="s">
        <v>2</v>
      </c>
      <c r="B5" s="11">
        <v>2495153114</v>
      </c>
      <c r="C5" s="11">
        <v>0</v>
      </c>
      <c r="D5" s="11">
        <v>1349479097</v>
      </c>
      <c r="E5" s="11">
        <v>1128186630</v>
      </c>
      <c r="F5" s="11">
        <v>1259445</v>
      </c>
      <c r="G5" s="11">
        <v>1007579</v>
      </c>
      <c r="H5" s="11">
        <v>15220363</v>
      </c>
    </row>
    <row r="6" spans="1:8" ht="12.5" customHeight="1" x14ac:dyDescent="0.45">
      <c r="A6" s="10" t="s">
        <v>3</v>
      </c>
      <c r="B6" s="11">
        <v>12235444</v>
      </c>
      <c r="C6" s="11">
        <v>0</v>
      </c>
      <c r="D6" s="11">
        <v>5522545</v>
      </c>
      <c r="E6" s="11">
        <v>6712899</v>
      </c>
      <c r="F6" s="11">
        <v>0</v>
      </c>
      <c r="G6" s="11">
        <v>0</v>
      </c>
      <c r="H6" s="11">
        <v>0</v>
      </c>
    </row>
    <row r="7" spans="1:8" ht="12.5" customHeight="1" x14ac:dyDescent="0.45">
      <c r="A7" s="10" t="s">
        <v>6</v>
      </c>
      <c r="B7" s="11">
        <v>2355017293</v>
      </c>
      <c r="C7" s="11">
        <v>0</v>
      </c>
      <c r="D7" s="11">
        <v>1259317185</v>
      </c>
      <c r="E7" s="11">
        <v>1078212721</v>
      </c>
      <c r="F7" s="11">
        <v>1259445</v>
      </c>
      <c r="G7" s="11">
        <v>1007579</v>
      </c>
      <c r="H7" s="11">
        <v>15220363</v>
      </c>
    </row>
    <row r="8" spans="1:8" ht="12.5" customHeight="1" x14ac:dyDescent="0.45">
      <c r="A8" s="10" t="s">
        <v>7</v>
      </c>
      <c r="B8" s="11">
        <v>58351818</v>
      </c>
      <c r="C8" s="11">
        <v>0</v>
      </c>
      <c r="D8" s="11">
        <v>41274436</v>
      </c>
      <c r="E8" s="11">
        <v>17077382</v>
      </c>
      <c r="F8" s="11">
        <v>0</v>
      </c>
      <c r="G8" s="11">
        <v>0</v>
      </c>
      <c r="H8" s="11">
        <v>0</v>
      </c>
    </row>
    <row r="9" spans="1:8" ht="12.5" customHeight="1" x14ac:dyDescent="0.45">
      <c r="A9" s="10" t="s">
        <v>9</v>
      </c>
      <c r="B9" s="11">
        <v>69548559</v>
      </c>
      <c r="C9" s="11">
        <v>0</v>
      </c>
      <c r="D9" s="11">
        <v>43364931</v>
      </c>
      <c r="E9" s="11">
        <v>26183628</v>
      </c>
      <c r="F9" s="11">
        <v>0</v>
      </c>
      <c r="G9" s="11">
        <v>0</v>
      </c>
      <c r="H9" s="11">
        <v>0</v>
      </c>
    </row>
    <row r="10" spans="1:8" ht="12.5" customHeight="1" x14ac:dyDescent="0.45">
      <c r="A10" s="10" t="s">
        <v>11</v>
      </c>
      <c r="B10" s="11">
        <v>4283064695</v>
      </c>
      <c r="C10" s="11">
        <v>0</v>
      </c>
      <c r="D10" s="11">
        <v>1689202626</v>
      </c>
      <c r="E10" s="11">
        <v>1386294429</v>
      </c>
      <c r="F10" s="11">
        <v>617450874</v>
      </c>
      <c r="G10" s="11">
        <v>429865311</v>
      </c>
      <c r="H10" s="11">
        <v>160251455</v>
      </c>
    </row>
    <row r="11" spans="1:8" ht="12.5" customHeight="1" x14ac:dyDescent="0.45">
      <c r="A11" s="10" t="s">
        <v>12</v>
      </c>
      <c r="B11" s="11">
        <v>1963911955</v>
      </c>
      <c r="C11" s="11">
        <v>0</v>
      </c>
      <c r="D11" s="11">
        <v>1072299605</v>
      </c>
      <c r="E11" s="11">
        <v>878179363</v>
      </c>
      <c r="F11" s="11">
        <v>794288</v>
      </c>
      <c r="G11" s="11">
        <v>-641774</v>
      </c>
      <c r="H11" s="11">
        <v>13280473</v>
      </c>
    </row>
    <row r="12" spans="1:8" ht="12.5" customHeight="1" x14ac:dyDescent="0.45">
      <c r="A12" s="10" t="s">
        <v>13</v>
      </c>
      <c r="B12" s="11">
        <v>13652272</v>
      </c>
      <c r="C12" s="11">
        <v>0</v>
      </c>
      <c r="D12" s="11">
        <v>909090</v>
      </c>
      <c r="E12" s="11">
        <v>1818182</v>
      </c>
      <c r="F12" s="11">
        <v>0</v>
      </c>
      <c r="G12" s="11">
        <v>0</v>
      </c>
      <c r="H12" s="11">
        <v>10925000</v>
      </c>
    </row>
    <row r="13" spans="1:8" ht="12.5" customHeight="1" x14ac:dyDescent="0.45">
      <c r="A13" s="10" t="s">
        <v>14</v>
      </c>
      <c r="B13" s="11">
        <v>835152698</v>
      </c>
      <c r="C13" s="11">
        <v>0</v>
      </c>
      <c r="D13" s="11">
        <v>296263956</v>
      </c>
      <c r="E13" s="11">
        <v>247712797</v>
      </c>
      <c r="F13" s="11">
        <v>160379763</v>
      </c>
      <c r="G13" s="11">
        <v>103234919</v>
      </c>
      <c r="H13" s="11">
        <v>27561263</v>
      </c>
    </row>
    <row r="14" spans="1:8" ht="12.5" customHeight="1" x14ac:dyDescent="0.45">
      <c r="A14" s="10" t="s">
        <v>15</v>
      </c>
      <c r="B14" s="11">
        <v>21766408</v>
      </c>
      <c r="C14" s="11">
        <v>0</v>
      </c>
      <c r="D14" s="11">
        <v>10712878</v>
      </c>
      <c r="E14" s="11">
        <v>8902966</v>
      </c>
      <c r="F14" s="11">
        <v>1275564</v>
      </c>
      <c r="G14" s="11">
        <v>875000</v>
      </c>
      <c r="H14" s="11">
        <v>0</v>
      </c>
    </row>
    <row r="15" spans="1:8" ht="12.5" customHeight="1" x14ac:dyDescent="0.45">
      <c r="A15" s="10" t="s">
        <v>16</v>
      </c>
      <c r="B15" s="11">
        <v>511764740</v>
      </c>
      <c r="C15" s="11">
        <v>0</v>
      </c>
      <c r="D15" s="11">
        <v>232653453</v>
      </c>
      <c r="E15" s="11">
        <v>170590204</v>
      </c>
      <c r="F15" s="11">
        <v>9091</v>
      </c>
      <c r="G15" s="11">
        <v>27273</v>
      </c>
      <c r="H15" s="11">
        <v>108484719</v>
      </c>
    </row>
    <row r="16" spans="1:8" ht="12.5" customHeight="1" x14ac:dyDescent="0.45">
      <c r="A16" s="10" t="s">
        <v>20</v>
      </c>
      <c r="B16" s="11">
        <v>781362061</v>
      </c>
      <c r="C16" s="11">
        <v>0</v>
      </c>
      <c r="D16" s="11">
        <v>0</v>
      </c>
      <c r="E16" s="11">
        <v>0</v>
      </c>
      <c r="F16" s="11">
        <v>454992168</v>
      </c>
      <c r="G16" s="11">
        <v>326369893</v>
      </c>
      <c r="H16" s="11">
        <v>0</v>
      </c>
    </row>
    <row r="17" spans="1:8" ht="12.5" customHeight="1" x14ac:dyDescent="0.45">
      <c r="A17" s="10" t="s">
        <v>21</v>
      </c>
      <c r="B17" s="11">
        <v>155454561</v>
      </c>
      <c r="C17" s="11">
        <v>0</v>
      </c>
      <c r="D17" s="11">
        <v>76363644</v>
      </c>
      <c r="E17" s="11">
        <v>79090917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2901468505</v>
      </c>
      <c r="C18" s="11">
        <v>0</v>
      </c>
      <c r="D18" s="11">
        <v>1593701797</v>
      </c>
      <c r="E18" s="11">
        <v>1283804162</v>
      </c>
      <c r="F18" s="11">
        <v>525000</v>
      </c>
      <c r="G18" s="11">
        <v>0</v>
      </c>
      <c r="H18" s="11">
        <v>23437546</v>
      </c>
    </row>
    <row r="19" spans="1:8" ht="12.5" customHeight="1" x14ac:dyDescent="0.45">
      <c r="A19" s="10" t="s">
        <v>24</v>
      </c>
      <c r="B19" s="11">
        <v>2901468505</v>
      </c>
      <c r="C19" s="11">
        <v>0</v>
      </c>
      <c r="D19" s="11">
        <v>1593701797</v>
      </c>
      <c r="E19" s="11">
        <v>1283804162</v>
      </c>
      <c r="F19" s="11">
        <v>525000</v>
      </c>
      <c r="G19" s="11">
        <v>0</v>
      </c>
      <c r="H19" s="11">
        <v>23437546</v>
      </c>
    </row>
    <row r="20" spans="1:8" ht="12.5" customHeight="1" x14ac:dyDescent="0.45">
      <c r="A20" s="10" t="s">
        <v>25</v>
      </c>
      <c r="B20" s="11">
        <v>3876749304</v>
      </c>
      <c r="C20" s="11">
        <v>0</v>
      </c>
      <c r="D20" s="11">
        <v>1444979926</v>
      </c>
      <c r="E20" s="11">
        <v>1230676897</v>
      </c>
      <c r="F20" s="11">
        <v>618185319</v>
      </c>
      <c r="G20" s="11">
        <v>430872890</v>
      </c>
      <c r="H20" s="11">
        <v>152034272</v>
      </c>
    </row>
    <row r="21" spans="1:8" ht="12.5" customHeight="1" x14ac:dyDescent="0.45">
      <c r="A21" s="10" t="s">
        <v>26</v>
      </c>
      <c r="B21" s="11">
        <v>2934837510</v>
      </c>
      <c r="C21" s="11">
        <v>76860219</v>
      </c>
      <c r="D21" s="11">
        <v>889736108</v>
      </c>
      <c r="E21" s="11">
        <v>959140449</v>
      </c>
      <c r="F21" s="11">
        <v>453948529</v>
      </c>
      <c r="G21" s="11">
        <v>337009372</v>
      </c>
      <c r="H21" s="11">
        <v>218142833</v>
      </c>
    </row>
    <row r="22" spans="1:8" ht="12.5" customHeight="1" x14ac:dyDescent="0.45">
      <c r="A22" s="10" t="s">
        <v>27</v>
      </c>
      <c r="B22" s="11">
        <v>11690700</v>
      </c>
      <c r="C22" s="11">
        <v>11690700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</row>
    <row r="23" spans="1:8" ht="12.5" customHeight="1" x14ac:dyDescent="0.45">
      <c r="A23" s="10" t="s">
        <v>28</v>
      </c>
      <c r="B23" s="11">
        <v>1233790663</v>
      </c>
      <c r="C23" s="11">
        <v>24942750</v>
      </c>
      <c r="D23" s="11">
        <v>390763200</v>
      </c>
      <c r="E23" s="11">
        <v>406580510</v>
      </c>
      <c r="F23" s="11">
        <v>197761530</v>
      </c>
      <c r="G23" s="11">
        <v>156313890</v>
      </c>
      <c r="H23" s="11">
        <v>57428783</v>
      </c>
    </row>
    <row r="24" spans="1:8" ht="12.5" customHeight="1" x14ac:dyDescent="0.45">
      <c r="A24" s="10" t="s">
        <v>29</v>
      </c>
      <c r="B24" s="11">
        <v>82474160</v>
      </c>
      <c r="C24" s="11">
        <v>16251120</v>
      </c>
      <c r="D24" s="11">
        <v>15228300</v>
      </c>
      <c r="E24" s="11">
        <v>18055820</v>
      </c>
      <c r="F24" s="11">
        <v>13114430</v>
      </c>
      <c r="G24" s="11">
        <v>15074850</v>
      </c>
      <c r="H24" s="11">
        <v>4749640</v>
      </c>
    </row>
    <row r="25" spans="1:8" ht="12.5" customHeight="1" x14ac:dyDescent="0.45">
      <c r="A25" s="10" t="s">
        <v>30</v>
      </c>
      <c r="B25" s="11">
        <v>14802400</v>
      </c>
      <c r="C25" s="11">
        <v>2963750</v>
      </c>
      <c r="D25" s="11">
        <v>2813270</v>
      </c>
      <c r="E25" s="11">
        <v>3296920</v>
      </c>
      <c r="F25" s="11">
        <v>2018480</v>
      </c>
      <c r="G25" s="11">
        <v>2762540</v>
      </c>
      <c r="H25" s="11">
        <v>947440</v>
      </c>
    </row>
    <row r="26" spans="1:8" ht="12.5" customHeight="1" x14ac:dyDescent="0.45">
      <c r="A26" s="10" t="s">
        <v>31</v>
      </c>
      <c r="B26" s="11">
        <v>3500000</v>
      </c>
      <c r="C26" s="11">
        <v>700000</v>
      </c>
      <c r="D26" s="11">
        <v>700000</v>
      </c>
      <c r="E26" s="11">
        <v>700000</v>
      </c>
      <c r="F26" s="11">
        <v>0</v>
      </c>
      <c r="G26" s="11">
        <v>700000</v>
      </c>
      <c r="H26" s="11">
        <v>700000</v>
      </c>
    </row>
    <row r="27" spans="1:8" ht="12.5" customHeight="1" x14ac:dyDescent="0.45">
      <c r="A27" s="10" t="s">
        <v>33</v>
      </c>
      <c r="B27" s="11">
        <v>2126810</v>
      </c>
      <c r="C27" s="11">
        <v>126200</v>
      </c>
      <c r="D27" s="11">
        <v>342680</v>
      </c>
      <c r="E27" s="11">
        <v>458280</v>
      </c>
      <c r="F27" s="11">
        <v>311790</v>
      </c>
      <c r="G27" s="11">
        <v>887860</v>
      </c>
      <c r="H27" s="11">
        <v>0</v>
      </c>
    </row>
    <row r="28" spans="1:8" ht="12.5" customHeight="1" x14ac:dyDescent="0.45">
      <c r="A28" s="10" t="s">
        <v>34</v>
      </c>
      <c r="B28" s="11">
        <v>1200000</v>
      </c>
      <c r="C28" s="11">
        <v>600000</v>
      </c>
      <c r="D28" s="11">
        <v>0</v>
      </c>
      <c r="E28" s="11">
        <v>0</v>
      </c>
      <c r="F28" s="11">
        <v>0</v>
      </c>
      <c r="G28" s="11">
        <v>600000</v>
      </c>
      <c r="H28" s="11">
        <v>0</v>
      </c>
    </row>
    <row r="29" spans="1:8" ht="12.5" customHeight="1" x14ac:dyDescent="0.45">
      <c r="A29" s="10" t="s">
        <v>41</v>
      </c>
      <c r="B29" s="11">
        <v>3100000</v>
      </c>
      <c r="C29" s="11">
        <v>620000</v>
      </c>
      <c r="D29" s="11">
        <v>620000</v>
      </c>
      <c r="E29" s="11">
        <v>620000</v>
      </c>
      <c r="F29" s="11">
        <v>620000</v>
      </c>
      <c r="G29" s="11">
        <v>465000</v>
      </c>
      <c r="H29" s="11">
        <v>155000</v>
      </c>
    </row>
    <row r="30" spans="1:8" ht="12.5" customHeight="1" x14ac:dyDescent="0.45">
      <c r="A30" s="10" t="s">
        <v>46</v>
      </c>
      <c r="B30" s="11">
        <v>875299080</v>
      </c>
      <c r="C30" s="11">
        <v>2898030</v>
      </c>
      <c r="D30" s="11">
        <v>290706100</v>
      </c>
      <c r="E30" s="11">
        <v>300861680</v>
      </c>
      <c r="F30" s="11">
        <v>141759880</v>
      </c>
      <c r="G30" s="11">
        <v>106437670</v>
      </c>
      <c r="H30" s="11">
        <v>32635720</v>
      </c>
    </row>
    <row r="31" spans="1:8" ht="12.5" customHeight="1" x14ac:dyDescent="0.45">
      <c r="A31" s="10" t="s">
        <v>47</v>
      </c>
      <c r="B31" s="11">
        <v>148228510</v>
      </c>
      <c r="C31" s="11">
        <v>482060</v>
      </c>
      <c r="D31" s="11">
        <v>49129290</v>
      </c>
      <c r="E31" s="11">
        <v>50211070</v>
      </c>
      <c r="F31" s="11">
        <v>24746860</v>
      </c>
      <c r="G31" s="11">
        <v>18144080</v>
      </c>
      <c r="H31" s="11">
        <v>5515150</v>
      </c>
    </row>
    <row r="32" spans="1:8" ht="12.5" customHeight="1" x14ac:dyDescent="0.45">
      <c r="A32" s="10" t="s">
        <v>48</v>
      </c>
      <c r="B32" s="11">
        <v>27145190</v>
      </c>
      <c r="C32" s="11">
        <v>0</v>
      </c>
      <c r="D32" s="11">
        <v>9445170</v>
      </c>
      <c r="E32" s="11">
        <v>10400020</v>
      </c>
      <c r="F32" s="11">
        <v>4400000</v>
      </c>
      <c r="G32" s="11">
        <v>2900000</v>
      </c>
      <c r="H32" s="11">
        <v>0</v>
      </c>
    </row>
    <row r="33" spans="1:8" ht="12.5" customHeight="1" x14ac:dyDescent="0.45">
      <c r="A33" s="10" t="s">
        <v>49</v>
      </c>
      <c r="B33" s="11">
        <v>58685000</v>
      </c>
      <c r="C33" s="11">
        <v>155000</v>
      </c>
      <c r="D33" s="11">
        <v>19660000</v>
      </c>
      <c r="E33" s="11">
        <v>20235000</v>
      </c>
      <c r="F33" s="11">
        <v>9515000</v>
      </c>
      <c r="G33" s="11">
        <v>7005000</v>
      </c>
      <c r="H33" s="11">
        <v>2115000</v>
      </c>
    </row>
    <row r="34" spans="1:8" ht="12.5" customHeight="1" x14ac:dyDescent="0.45">
      <c r="A34" s="10" t="s">
        <v>52</v>
      </c>
      <c r="B34" s="11">
        <v>2140550</v>
      </c>
      <c r="C34" s="11">
        <v>0</v>
      </c>
      <c r="D34" s="11">
        <v>88430</v>
      </c>
      <c r="E34" s="11">
        <v>0</v>
      </c>
      <c r="F34" s="11">
        <v>0</v>
      </c>
      <c r="G34" s="11">
        <v>0</v>
      </c>
      <c r="H34" s="11">
        <v>2052120</v>
      </c>
    </row>
    <row r="35" spans="1:8" ht="12.5" customHeight="1" x14ac:dyDescent="0.45">
      <c r="A35" s="10" t="s">
        <v>53</v>
      </c>
      <c r="B35" s="11">
        <v>8024880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8024880</v>
      </c>
    </row>
    <row r="36" spans="1:8" ht="12.5" customHeight="1" x14ac:dyDescent="0.45">
      <c r="A36" s="10" t="s">
        <v>56</v>
      </c>
      <c r="B36" s="11">
        <v>2227420</v>
      </c>
      <c r="C36" s="11">
        <v>146590</v>
      </c>
      <c r="D36" s="11">
        <v>189960</v>
      </c>
      <c r="E36" s="11">
        <v>1041720</v>
      </c>
      <c r="F36" s="11">
        <v>175090</v>
      </c>
      <c r="G36" s="11">
        <v>536890</v>
      </c>
      <c r="H36" s="11">
        <v>137170</v>
      </c>
    </row>
    <row r="37" spans="1:8" ht="12.5" customHeight="1" x14ac:dyDescent="0.45">
      <c r="A37" s="10" t="s">
        <v>58</v>
      </c>
      <c r="B37" s="11">
        <v>4836663</v>
      </c>
      <c r="C37" s="11">
        <v>0</v>
      </c>
      <c r="D37" s="11">
        <v>1840000</v>
      </c>
      <c r="E37" s="11">
        <v>700000</v>
      </c>
      <c r="F37" s="11">
        <v>1100000</v>
      </c>
      <c r="G37" s="11">
        <v>800000</v>
      </c>
      <c r="H37" s="11">
        <v>396663</v>
      </c>
    </row>
    <row r="38" spans="1:8" ht="12.5" customHeight="1" x14ac:dyDescent="0.45">
      <c r="A38" s="10" t="s">
        <v>61</v>
      </c>
      <c r="B38" s="11">
        <v>485460340</v>
      </c>
      <c r="C38" s="11">
        <v>18987420</v>
      </c>
      <c r="D38" s="11">
        <v>137300970</v>
      </c>
      <c r="E38" s="11">
        <v>163848850</v>
      </c>
      <c r="F38" s="11">
        <v>80023840</v>
      </c>
      <c r="G38" s="11">
        <v>63899950</v>
      </c>
      <c r="H38" s="11">
        <v>21399310</v>
      </c>
    </row>
    <row r="39" spans="1:8" ht="12.5" customHeight="1" x14ac:dyDescent="0.45">
      <c r="A39" s="10" t="s">
        <v>62</v>
      </c>
      <c r="B39" s="11">
        <v>92333230</v>
      </c>
      <c r="C39" s="11">
        <v>17787420</v>
      </c>
      <c r="D39" s="11">
        <v>15477530</v>
      </c>
      <c r="E39" s="11">
        <v>20346360</v>
      </c>
      <c r="F39" s="11">
        <v>14338180</v>
      </c>
      <c r="G39" s="11">
        <v>18784430</v>
      </c>
      <c r="H39" s="11">
        <v>5599310</v>
      </c>
    </row>
    <row r="40" spans="1:8" ht="12.5" customHeight="1" x14ac:dyDescent="0.45">
      <c r="A40" s="10" t="s">
        <v>66</v>
      </c>
      <c r="B40" s="11">
        <v>392227110</v>
      </c>
      <c r="C40" s="11">
        <v>1200000</v>
      </c>
      <c r="D40" s="11">
        <v>121823440</v>
      </c>
      <c r="E40" s="11">
        <v>143502490</v>
      </c>
      <c r="F40" s="11">
        <v>65685660</v>
      </c>
      <c r="G40" s="11">
        <v>45115520</v>
      </c>
      <c r="H40" s="11">
        <v>14900000</v>
      </c>
    </row>
    <row r="41" spans="1:8" ht="12.5" customHeight="1" x14ac:dyDescent="0.45">
      <c r="A41" s="10" t="s">
        <v>67</v>
      </c>
      <c r="B41" s="11">
        <v>900000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900000</v>
      </c>
    </row>
    <row r="42" spans="1:8" ht="12.5" customHeight="1" x14ac:dyDescent="0.45">
      <c r="A42" s="10" t="s">
        <v>69</v>
      </c>
      <c r="B42" s="11">
        <v>137804873</v>
      </c>
      <c r="C42" s="11">
        <v>4208305</v>
      </c>
      <c r="D42" s="11">
        <v>44238521</v>
      </c>
      <c r="E42" s="11">
        <v>45646077</v>
      </c>
      <c r="F42" s="11">
        <v>20832540</v>
      </c>
      <c r="G42" s="11">
        <v>15462757</v>
      </c>
      <c r="H42" s="11">
        <v>7416673</v>
      </c>
    </row>
    <row r="43" spans="1:8" ht="12.5" customHeight="1" x14ac:dyDescent="0.45">
      <c r="A43" s="10" t="s">
        <v>70</v>
      </c>
      <c r="B43" s="11">
        <v>137804873</v>
      </c>
      <c r="C43" s="11">
        <v>4208305</v>
      </c>
      <c r="D43" s="11">
        <v>44238521</v>
      </c>
      <c r="E43" s="11">
        <v>45646077</v>
      </c>
      <c r="F43" s="11">
        <v>20832540</v>
      </c>
      <c r="G43" s="11">
        <v>15462757</v>
      </c>
      <c r="H43" s="11">
        <v>7416673</v>
      </c>
    </row>
    <row r="44" spans="1:8" ht="12.5" customHeight="1" x14ac:dyDescent="0.45">
      <c r="A44" s="10" t="s">
        <v>71</v>
      </c>
      <c r="B44" s="11">
        <v>1000000</v>
      </c>
      <c r="C44" s="11">
        <v>0</v>
      </c>
      <c r="D44" s="11">
        <v>0</v>
      </c>
      <c r="E44" s="11">
        <v>1000000</v>
      </c>
      <c r="F44" s="11">
        <v>0</v>
      </c>
      <c r="G44" s="11">
        <v>0</v>
      </c>
      <c r="H44" s="11">
        <v>0</v>
      </c>
    </row>
    <row r="45" spans="1:8" ht="12.5" customHeight="1" x14ac:dyDescent="0.45">
      <c r="A45" s="10" t="s">
        <v>252</v>
      </c>
      <c r="B45" s="11">
        <v>1000000</v>
      </c>
      <c r="C45" s="11">
        <v>0</v>
      </c>
      <c r="D45" s="11">
        <v>0</v>
      </c>
      <c r="E45" s="11">
        <v>1000000</v>
      </c>
      <c r="F45" s="11">
        <v>0</v>
      </c>
      <c r="G45" s="11">
        <v>0</v>
      </c>
      <c r="H45" s="11">
        <v>0</v>
      </c>
    </row>
    <row r="46" spans="1:8" ht="12.5" customHeight="1" x14ac:dyDescent="0.45">
      <c r="A46" s="10" t="s">
        <v>72</v>
      </c>
      <c r="B46" s="11">
        <v>368511052</v>
      </c>
      <c r="C46" s="11">
        <v>4379626</v>
      </c>
      <c r="D46" s="11">
        <v>96523405</v>
      </c>
      <c r="E46" s="11">
        <v>110993241</v>
      </c>
      <c r="F46" s="11">
        <v>68462892</v>
      </c>
      <c r="G46" s="11">
        <v>44824325</v>
      </c>
      <c r="H46" s="11">
        <v>43327563</v>
      </c>
    </row>
    <row r="47" spans="1:8" ht="12.5" customHeight="1" x14ac:dyDescent="0.45">
      <c r="A47" s="10" t="s">
        <v>74</v>
      </c>
      <c r="B47" s="11">
        <v>12834533</v>
      </c>
      <c r="C47" s="11">
        <v>363741</v>
      </c>
      <c r="D47" s="11">
        <v>3781954</v>
      </c>
      <c r="E47" s="11">
        <v>4136783</v>
      </c>
      <c r="F47" s="11">
        <v>2161473</v>
      </c>
      <c r="G47" s="11">
        <v>1642424</v>
      </c>
      <c r="H47" s="11">
        <v>748158</v>
      </c>
    </row>
    <row r="48" spans="1:8" ht="12.5" customHeight="1" x14ac:dyDescent="0.45">
      <c r="A48" s="10" t="s">
        <v>75</v>
      </c>
      <c r="B48" s="11">
        <v>64244570</v>
      </c>
      <c r="C48" s="11">
        <v>1961910</v>
      </c>
      <c r="D48" s="11">
        <v>20623980</v>
      </c>
      <c r="E48" s="11">
        <v>21280180</v>
      </c>
      <c r="F48" s="11">
        <v>9712120</v>
      </c>
      <c r="G48" s="11">
        <v>7208730</v>
      </c>
      <c r="H48" s="11">
        <v>3457650</v>
      </c>
    </row>
    <row r="49" spans="1:8" ht="12.5" customHeight="1" x14ac:dyDescent="0.45">
      <c r="A49" s="10" t="s">
        <v>76</v>
      </c>
      <c r="B49" s="11">
        <v>67756750</v>
      </c>
      <c r="C49" s="11">
        <v>1345230</v>
      </c>
      <c r="D49" s="11">
        <v>22551410</v>
      </c>
      <c r="E49" s="11">
        <v>23386920</v>
      </c>
      <c r="F49" s="11">
        <v>9772870</v>
      </c>
      <c r="G49" s="11">
        <v>7860830</v>
      </c>
      <c r="H49" s="11">
        <v>2839490</v>
      </c>
    </row>
    <row r="50" spans="1:8" ht="12.5" customHeight="1" x14ac:dyDescent="0.45">
      <c r="A50" s="10" t="s">
        <v>77</v>
      </c>
      <c r="B50" s="11">
        <v>23920496</v>
      </c>
      <c r="C50" s="11">
        <v>677926</v>
      </c>
      <c r="D50" s="11">
        <v>7048658</v>
      </c>
      <c r="E50" s="11">
        <v>7709972</v>
      </c>
      <c r="F50" s="11">
        <v>4028469</v>
      </c>
      <c r="G50" s="11">
        <v>3061084</v>
      </c>
      <c r="H50" s="11">
        <v>1394387</v>
      </c>
    </row>
    <row r="51" spans="1:8" ht="12.5" customHeight="1" x14ac:dyDescent="0.45">
      <c r="A51" s="10" t="s">
        <v>79</v>
      </c>
      <c r="B51" s="11">
        <v>136168419</v>
      </c>
      <c r="C51" s="11">
        <v>0</v>
      </c>
      <c r="D51" s="11">
        <v>33540398</v>
      </c>
      <c r="E51" s="11">
        <v>34856301</v>
      </c>
      <c r="F51" s="11">
        <v>42516920</v>
      </c>
      <c r="G51" s="11">
        <v>24054800</v>
      </c>
      <c r="H51" s="11">
        <v>1200000</v>
      </c>
    </row>
    <row r="52" spans="1:8" ht="12.5" customHeight="1" x14ac:dyDescent="0.45">
      <c r="A52" s="10" t="s">
        <v>80</v>
      </c>
      <c r="B52" s="11">
        <v>5460000</v>
      </c>
      <c r="C52" s="11">
        <v>0</v>
      </c>
      <c r="D52" s="11">
        <v>1780000</v>
      </c>
      <c r="E52" s="11">
        <v>2080000</v>
      </c>
      <c r="F52" s="11">
        <v>0</v>
      </c>
      <c r="G52" s="11">
        <v>800000</v>
      </c>
      <c r="H52" s="11">
        <v>800000</v>
      </c>
    </row>
    <row r="53" spans="1:8" ht="12.5" customHeight="1" x14ac:dyDescent="0.45">
      <c r="A53" s="10" t="s">
        <v>82</v>
      </c>
      <c r="B53" s="11">
        <v>2240970</v>
      </c>
      <c r="C53" s="11">
        <v>30819</v>
      </c>
      <c r="D53" s="11">
        <v>812646</v>
      </c>
      <c r="E53" s="11">
        <v>911917</v>
      </c>
      <c r="F53" s="11">
        <v>271040</v>
      </c>
      <c r="G53" s="11">
        <v>196457</v>
      </c>
      <c r="H53" s="11">
        <v>18091</v>
      </c>
    </row>
    <row r="54" spans="1:8" ht="12.5" customHeight="1" x14ac:dyDescent="0.45">
      <c r="A54" s="10" t="s">
        <v>83</v>
      </c>
      <c r="B54" s="11">
        <v>3450000</v>
      </c>
      <c r="C54" s="11">
        <v>0</v>
      </c>
      <c r="D54" s="11">
        <v>0</v>
      </c>
      <c r="E54" s="11">
        <v>3450000</v>
      </c>
      <c r="F54" s="11">
        <v>0</v>
      </c>
      <c r="G54" s="11">
        <v>0</v>
      </c>
      <c r="H54" s="11">
        <v>0</v>
      </c>
    </row>
    <row r="55" spans="1:8" ht="12.5" customHeight="1" x14ac:dyDescent="0.45">
      <c r="A55" s="10" t="s">
        <v>107</v>
      </c>
      <c r="B55" s="11">
        <v>52435314</v>
      </c>
      <c r="C55" s="11">
        <v>0</v>
      </c>
      <c r="D55" s="11">
        <v>6384359</v>
      </c>
      <c r="E55" s="11">
        <v>13181168</v>
      </c>
      <c r="F55" s="11">
        <v>0</v>
      </c>
      <c r="G55" s="11">
        <v>0</v>
      </c>
      <c r="H55" s="11">
        <v>32869787</v>
      </c>
    </row>
    <row r="56" spans="1:8" ht="12.5" customHeight="1" x14ac:dyDescent="0.45">
      <c r="A56" s="10" t="s">
        <v>113</v>
      </c>
      <c r="B56" s="11">
        <v>7250100</v>
      </c>
      <c r="C56" s="11">
        <v>218600</v>
      </c>
      <c r="D56" s="11">
        <v>3106700</v>
      </c>
      <c r="E56" s="11">
        <v>1237200</v>
      </c>
      <c r="F56" s="11">
        <v>1394400</v>
      </c>
      <c r="G56" s="11">
        <v>647700</v>
      </c>
      <c r="H56" s="11">
        <v>645500</v>
      </c>
    </row>
    <row r="57" spans="1:8" ht="12.5" customHeight="1" x14ac:dyDescent="0.45">
      <c r="A57" s="10" t="s">
        <v>114</v>
      </c>
      <c r="B57" s="11">
        <v>5831100</v>
      </c>
      <c r="C57" s="11">
        <v>218600</v>
      </c>
      <c r="D57" s="11">
        <v>2736700</v>
      </c>
      <c r="E57" s="11">
        <v>831200</v>
      </c>
      <c r="F57" s="11">
        <v>1002400</v>
      </c>
      <c r="G57" s="11">
        <v>429700</v>
      </c>
      <c r="H57" s="11">
        <v>612500</v>
      </c>
    </row>
    <row r="58" spans="1:8" ht="12.5" customHeight="1" x14ac:dyDescent="0.45">
      <c r="A58" s="10" t="s">
        <v>117</v>
      </c>
      <c r="B58" s="11">
        <v>1419000</v>
      </c>
      <c r="C58" s="11">
        <v>0</v>
      </c>
      <c r="D58" s="11">
        <v>370000</v>
      </c>
      <c r="E58" s="11">
        <v>406000</v>
      </c>
      <c r="F58" s="11">
        <v>392000</v>
      </c>
      <c r="G58" s="11">
        <v>218000</v>
      </c>
      <c r="H58" s="11">
        <v>33000</v>
      </c>
    </row>
    <row r="59" spans="1:8" ht="12.5" customHeight="1" x14ac:dyDescent="0.45">
      <c r="A59" s="10" t="s">
        <v>120</v>
      </c>
      <c r="B59" s="11">
        <v>100000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100000</v>
      </c>
    </row>
    <row r="60" spans="1:8" ht="12.5" customHeight="1" x14ac:dyDescent="0.45">
      <c r="A60" s="10" t="s">
        <v>123</v>
      </c>
      <c r="B60" s="11">
        <v>100000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100000</v>
      </c>
    </row>
    <row r="61" spans="1:8" ht="12.5" customHeight="1" x14ac:dyDescent="0.45">
      <c r="A61" s="10" t="s">
        <v>124</v>
      </c>
      <c r="B61" s="11">
        <v>2592561</v>
      </c>
      <c r="C61" s="11">
        <v>17080</v>
      </c>
      <c r="D61" s="11">
        <v>290280</v>
      </c>
      <c r="E61" s="11">
        <v>257320</v>
      </c>
      <c r="F61" s="11">
        <v>1023968</v>
      </c>
      <c r="G61" s="11">
        <v>843013</v>
      </c>
      <c r="H61" s="11">
        <v>160900</v>
      </c>
    </row>
    <row r="62" spans="1:8" ht="12.5" customHeight="1" x14ac:dyDescent="0.45">
      <c r="A62" s="10" t="s">
        <v>127</v>
      </c>
      <c r="B62" s="11">
        <v>1576741</v>
      </c>
      <c r="C62" s="11">
        <v>0</v>
      </c>
      <c r="D62" s="11">
        <v>0</v>
      </c>
      <c r="E62" s="11">
        <v>0</v>
      </c>
      <c r="F62" s="11">
        <v>953378</v>
      </c>
      <c r="G62" s="11">
        <v>623363</v>
      </c>
      <c r="H62" s="11">
        <v>0</v>
      </c>
    </row>
    <row r="63" spans="1:8" ht="12.5" customHeight="1" x14ac:dyDescent="0.45">
      <c r="A63" s="10" t="s">
        <v>128</v>
      </c>
      <c r="B63" s="11">
        <v>1015820</v>
      </c>
      <c r="C63" s="11">
        <v>17080</v>
      </c>
      <c r="D63" s="11">
        <v>290280</v>
      </c>
      <c r="E63" s="11">
        <v>257320</v>
      </c>
      <c r="F63" s="11">
        <v>70590</v>
      </c>
      <c r="G63" s="11">
        <v>219650</v>
      </c>
      <c r="H63" s="11">
        <v>160900</v>
      </c>
    </row>
    <row r="64" spans="1:8" ht="12.5" customHeight="1" x14ac:dyDescent="0.45">
      <c r="A64" s="10" t="s">
        <v>131</v>
      </c>
      <c r="B64" s="11">
        <v>22699868</v>
      </c>
      <c r="C64" s="11">
        <v>0</v>
      </c>
      <c r="D64" s="11">
        <v>7526675</v>
      </c>
      <c r="E64" s="11">
        <v>11774189</v>
      </c>
      <c r="F64" s="11">
        <v>2417762</v>
      </c>
      <c r="G64" s="11">
        <v>981242</v>
      </c>
      <c r="H64" s="11">
        <v>0</v>
      </c>
    </row>
    <row r="65" spans="1:8" ht="12.5" customHeight="1" x14ac:dyDescent="0.45">
      <c r="A65" s="10" t="s">
        <v>132</v>
      </c>
      <c r="B65" s="11">
        <v>22699868</v>
      </c>
      <c r="C65" s="11">
        <v>0</v>
      </c>
      <c r="D65" s="11">
        <v>7526675</v>
      </c>
      <c r="E65" s="11">
        <v>11774189</v>
      </c>
      <c r="F65" s="11">
        <v>2417762</v>
      </c>
      <c r="G65" s="11">
        <v>981242</v>
      </c>
      <c r="H65" s="11">
        <v>0</v>
      </c>
    </row>
    <row r="66" spans="1:8" ht="12.5" customHeight="1" x14ac:dyDescent="0.45">
      <c r="A66" s="10" t="s">
        <v>139</v>
      </c>
      <c r="B66" s="11">
        <v>1046659</v>
      </c>
      <c r="C66" s="11">
        <v>683333</v>
      </c>
      <c r="D66" s="11">
        <v>53133</v>
      </c>
      <c r="E66" s="11">
        <v>216562</v>
      </c>
      <c r="F66" s="11">
        <v>0</v>
      </c>
      <c r="G66" s="11">
        <v>93631</v>
      </c>
      <c r="H66" s="11">
        <v>0</v>
      </c>
    </row>
    <row r="67" spans="1:8" ht="12.5" customHeight="1" x14ac:dyDescent="0.45">
      <c r="A67" s="10" t="s">
        <v>140</v>
      </c>
      <c r="B67" s="11">
        <v>152160461</v>
      </c>
      <c r="C67" s="11">
        <v>1000000</v>
      </c>
      <c r="D67" s="11">
        <v>31265159</v>
      </c>
      <c r="E67" s="11">
        <v>50234087</v>
      </c>
      <c r="F67" s="11">
        <v>37912239</v>
      </c>
      <c r="G67" s="11">
        <v>27504976</v>
      </c>
      <c r="H67" s="11">
        <v>4244000</v>
      </c>
    </row>
    <row r="68" spans="1:8" ht="12.5" customHeight="1" x14ac:dyDescent="0.45">
      <c r="A68" s="10" t="s">
        <v>141</v>
      </c>
      <c r="B68" s="11">
        <v>42652000</v>
      </c>
      <c r="C68" s="11">
        <v>1000000</v>
      </c>
      <c r="D68" s="11">
        <v>2695000</v>
      </c>
      <c r="E68" s="11">
        <v>2695000</v>
      </c>
      <c r="F68" s="11">
        <v>18897000</v>
      </c>
      <c r="G68" s="11">
        <v>14131000</v>
      </c>
      <c r="H68" s="11">
        <v>3234000</v>
      </c>
    </row>
    <row r="69" spans="1:8" ht="12.5" customHeight="1" x14ac:dyDescent="0.45">
      <c r="A69" s="10" t="s">
        <v>143</v>
      </c>
      <c r="B69" s="11">
        <v>72109532</v>
      </c>
      <c r="C69" s="11">
        <v>0</v>
      </c>
      <c r="D69" s="11">
        <v>12040000</v>
      </c>
      <c r="E69" s="11">
        <v>33903796</v>
      </c>
      <c r="F69" s="11">
        <v>16664736</v>
      </c>
      <c r="G69" s="11">
        <v>9501000</v>
      </c>
      <c r="H69" s="11">
        <v>0</v>
      </c>
    </row>
    <row r="70" spans="1:8" ht="12.5" customHeight="1" x14ac:dyDescent="0.45">
      <c r="A70" s="10" t="s">
        <v>144</v>
      </c>
      <c r="B70" s="11">
        <v>37398929</v>
      </c>
      <c r="C70" s="11">
        <v>0</v>
      </c>
      <c r="D70" s="11">
        <v>16530159</v>
      </c>
      <c r="E70" s="11">
        <v>13635291</v>
      </c>
      <c r="F70" s="11">
        <v>2350503</v>
      </c>
      <c r="G70" s="11">
        <v>3872976</v>
      </c>
      <c r="H70" s="11">
        <v>1010000</v>
      </c>
    </row>
    <row r="71" spans="1:8" ht="12.5" customHeight="1" x14ac:dyDescent="0.45">
      <c r="A71" s="10" t="s">
        <v>149</v>
      </c>
      <c r="B71" s="11">
        <v>100921</v>
      </c>
      <c r="C71" s="11">
        <v>0</v>
      </c>
      <c r="D71" s="11">
        <v>0</v>
      </c>
      <c r="E71" s="11">
        <v>0</v>
      </c>
      <c r="F71" s="11">
        <v>52624</v>
      </c>
      <c r="G71" s="11">
        <v>48297</v>
      </c>
      <c r="H71" s="11">
        <v>0</v>
      </c>
    </row>
    <row r="72" spans="1:8" ht="12.5" customHeight="1" x14ac:dyDescent="0.45">
      <c r="A72" s="10" t="s">
        <v>151</v>
      </c>
      <c r="B72" s="11">
        <v>100921</v>
      </c>
      <c r="C72" s="11">
        <v>0</v>
      </c>
      <c r="D72" s="11">
        <v>0</v>
      </c>
      <c r="E72" s="11">
        <v>0</v>
      </c>
      <c r="F72" s="11">
        <v>52624</v>
      </c>
      <c r="G72" s="11">
        <v>48297</v>
      </c>
      <c r="H72" s="11">
        <v>0</v>
      </c>
    </row>
    <row r="73" spans="1:8" ht="12.5" customHeight="1" x14ac:dyDescent="0.45">
      <c r="A73" s="10" t="s">
        <v>154</v>
      </c>
      <c r="B73" s="11">
        <v>25945232</v>
      </c>
      <c r="C73" s="11">
        <v>1295012</v>
      </c>
      <c r="D73" s="11">
        <v>1804255</v>
      </c>
      <c r="E73" s="11">
        <v>1698962</v>
      </c>
      <c r="F73" s="11">
        <v>10566224</v>
      </c>
      <c r="G73" s="11">
        <v>7884852</v>
      </c>
      <c r="H73" s="11">
        <v>2695927</v>
      </c>
    </row>
    <row r="74" spans="1:8" ht="12.5" customHeight="1" x14ac:dyDescent="0.45">
      <c r="A74" s="10" t="s">
        <v>155</v>
      </c>
      <c r="B74" s="11">
        <v>7393845</v>
      </c>
      <c r="C74" s="11">
        <v>305500</v>
      </c>
      <c r="D74" s="11">
        <v>1081650</v>
      </c>
      <c r="E74" s="11">
        <v>747357</v>
      </c>
      <c r="F74" s="11">
        <v>3641998</v>
      </c>
      <c r="G74" s="11">
        <v>888840</v>
      </c>
      <c r="H74" s="11">
        <v>728500</v>
      </c>
    </row>
    <row r="75" spans="1:8" ht="12.5" customHeight="1" x14ac:dyDescent="0.45">
      <c r="A75" s="10" t="s">
        <v>156</v>
      </c>
      <c r="B75" s="11">
        <v>989512</v>
      </c>
      <c r="C75" s="11">
        <v>989512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</row>
    <row r="76" spans="1:8" ht="12.5" customHeight="1" x14ac:dyDescent="0.45">
      <c r="A76" s="10" t="s">
        <v>157</v>
      </c>
      <c r="B76" s="11">
        <v>2318443</v>
      </c>
      <c r="C76" s="11">
        <v>0</v>
      </c>
      <c r="D76" s="11">
        <v>310000</v>
      </c>
      <c r="E76" s="11">
        <v>300000</v>
      </c>
      <c r="F76" s="11">
        <v>148143</v>
      </c>
      <c r="G76" s="11">
        <v>170000</v>
      </c>
      <c r="H76" s="11">
        <v>1390300</v>
      </c>
    </row>
    <row r="77" spans="1:8" ht="12.5" customHeight="1" x14ac:dyDescent="0.45">
      <c r="A77" s="10" t="s">
        <v>158</v>
      </c>
      <c r="B77" s="11">
        <v>15243432</v>
      </c>
      <c r="C77" s="11">
        <v>0</v>
      </c>
      <c r="D77" s="11">
        <v>412605</v>
      </c>
      <c r="E77" s="11">
        <v>651605</v>
      </c>
      <c r="F77" s="11">
        <v>6776083</v>
      </c>
      <c r="G77" s="11">
        <v>6826012</v>
      </c>
      <c r="H77" s="11">
        <v>577127</v>
      </c>
    </row>
    <row r="78" spans="1:8" ht="12.5" customHeight="1" x14ac:dyDescent="0.45">
      <c r="A78" s="10" t="s">
        <v>162</v>
      </c>
      <c r="B78" s="11">
        <v>45018182</v>
      </c>
      <c r="C78" s="11">
        <v>0</v>
      </c>
      <c r="D78" s="11">
        <v>14928500</v>
      </c>
      <c r="E78" s="11">
        <v>10508000</v>
      </c>
      <c r="F78" s="11">
        <v>12643955</v>
      </c>
      <c r="G78" s="11">
        <v>6693227</v>
      </c>
      <c r="H78" s="11">
        <v>244500</v>
      </c>
    </row>
    <row r="79" spans="1:8" ht="12.5" customHeight="1" x14ac:dyDescent="0.45">
      <c r="A79" s="10" t="s">
        <v>164</v>
      </c>
      <c r="B79" s="11">
        <v>45018182</v>
      </c>
      <c r="C79" s="11">
        <v>0</v>
      </c>
      <c r="D79" s="11">
        <v>14928500</v>
      </c>
      <c r="E79" s="11">
        <v>10508000</v>
      </c>
      <c r="F79" s="11">
        <v>12643955</v>
      </c>
      <c r="G79" s="11">
        <v>6693227</v>
      </c>
      <c r="H79" s="11">
        <v>244500</v>
      </c>
    </row>
    <row r="80" spans="1:8" ht="12.5" customHeight="1" x14ac:dyDescent="0.45">
      <c r="A80" s="10" t="s">
        <v>169</v>
      </c>
      <c r="B80" s="11">
        <v>2814367</v>
      </c>
      <c r="C80" s="11">
        <v>0</v>
      </c>
      <c r="D80" s="11">
        <v>1776276</v>
      </c>
      <c r="E80" s="11">
        <v>456273</v>
      </c>
      <c r="F80" s="11">
        <v>567818</v>
      </c>
      <c r="G80" s="11">
        <v>14000</v>
      </c>
      <c r="H80" s="11">
        <v>0</v>
      </c>
    </row>
    <row r="81" spans="1:8" ht="12.5" customHeight="1" x14ac:dyDescent="0.45">
      <c r="A81" s="10" t="s">
        <v>170</v>
      </c>
      <c r="B81" s="11">
        <v>363367</v>
      </c>
      <c r="C81" s="11">
        <v>0</v>
      </c>
      <c r="D81" s="11">
        <v>176276</v>
      </c>
      <c r="E81" s="11">
        <v>99273</v>
      </c>
      <c r="F81" s="11">
        <v>87818</v>
      </c>
      <c r="G81" s="11">
        <v>0</v>
      </c>
      <c r="H81" s="11">
        <v>0</v>
      </c>
    </row>
    <row r="82" spans="1:8" ht="12.5" customHeight="1" x14ac:dyDescent="0.45">
      <c r="A82" s="10" t="s">
        <v>172</v>
      </c>
      <c r="B82" s="11">
        <v>2451000</v>
      </c>
      <c r="C82" s="11">
        <v>0</v>
      </c>
      <c r="D82" s="11">
        <v>1600000</v>
      </c>
      <c r="E82" s="11">
        <v>357000</v>
      </c>
      <c r="F82" s="11">
        <v>480000</v>
      </c>
      <c r="G82" s="11">
        <v>14000</v>
      </c>
      <c r="H82" s="11">
        <v>0</v>
      </c>
    </row>
    <row r="83" spans="1:8" ht="12.5" customHeight="1" x14ac:dyDescent="0.45">
      <c r="A83" s="10" t="s">
        <v>179</v>
      </c>
      <c r="B83" s="11">
        <v>81028237</v>
      </c>
      <c r="C83" s="11">
        <v>4009954</v>
      </c>
      <c r="D83" s="11">
        <v>24591222</v>
      </c>
      <c r="E83" s="11">
        <v>20911621</v>
      </c>
      <c r="F83" s="11">
        <v>15261465</v>
      </c>
      <c r="G83" s="11">
        <v>10228470</v>
      </c>
      <c r="H83" s="11">
        <v>6025505</v>
      </c>
    </row>
    <row r="84" spans="1:8" ht="12.5" customHeight="1" x14ac:dyDescent="0.45">
      <c r="A84" s="10" t="s">
        <v>180</v>
      </c>
      <c r="B84" s="11">
        <v>18009517</v>
      </c>
      <c r="C84" s="11">
        <v>0</v>
      </c>
      <c r="D84" s="11">
        <v>6592810</v>
      </c>
      <c r="E84" s="11">
        <v>6732445</v>
      </c>
      <c r="F84" s="11">
        <v>2345512</v>
      </c>
      <c r="G84" s="11">
        <v>1599125</v>
      </c>
      <c r="H84" s="11">
        <v>739625</v>
      </c>
    </row>
    <row r="85" spans="1:8" ht="12.5" customHeight="1" x14ac:dyDescent="0.45">
      <c r="A85" s="10" t="s">
        <v>182</v>
      </c>
      <c r="B85" s="11">
        <v>2949971</v>
      </c>
      <c r="C85" s="11">
        <v>1279192</v>
      </c>
      <c r="D85" s="11">
        <v>399637</v>
      </c>
      <c r="E85" s="11">
        <v>399992</v>
      </c>
      <c r="F85" s="11">
        <v>310644</v>
      </c>
      <c r="G85" s="11">
        <v>319778</v>
      </c>
      <c r="H85" s="11">
        <v>240728</v>
      </c>
    </row>
    <row r="86" spans="1:8" ht="12.5" customHeight="1" x14ac:dyDescent="0.45">
      <c r="A86" s="10" t="s">
        <v>183</v>
      </c>
      <c r="B86" s="11">
        <v>1467469</v>
      </c>
      <c r="C86" s="11">
        <v>0</v>
      </c>
      <c r="D86" s="11">
        <v>433449</v>
      </c>
      <c r="E86" s="11">
        <v>594467</v>
      </c>
      <c r="F86" s="11">
        <v>289912</v>
      </c>
      <c r="G86" s="11">
        <v>149641</v>
      </c>
      <c r="H86" s="11">
        <v>0</v>
      </c>
    </row>
    <row r="87" spans="1:8" ht="12.5" customHeight="1" x14ac:dyDescent="0.45">
      <c r="A87" s="10" t="s">
        <v>185</v>
      </c>
      <c r="B87" s="11">
        <v>6703426</v>
      </c>
      <c r="C87" s="11">
        <v>1779591</v>
      </c>
      <c r="D87" s="11">
        <v>2279826</v>
      </c>
      <c r="E87" s="11">
        <v>875181</v>
      </c>
      <c r="F87" s="11">
        <v>970365</v>
      </c>
      <c r="G87" s="11">
        <v>0</v>
      </c>
      <c r="H87" s="11">
        <v>798463</v>
      </c>
    </row>
    <row r="88" spans="1:8" ht="12.5" customHeight="1" x14ac:dyDescent="0.45">
      <c r="A88" s="10" t="s">
        <v>186</v>
      </c>
      <c r="B88" s="11">
        <v>15079942</v>
      </c>
      <c r="C88" s="11">
        <v>0</v>
      </c>
      <c r="D88" s="11">
        <v>298187</v>
      </c>
      <c r="E88" s="11">
        <v>842962</v>
      </c>
      <c r="F88" s="11">
        <v>7006765</v>
      </c>
      <c r="G88" s="11">
        <v>6932028</v>
      </c>
      <c r="H88" s="11">
        <v>0</v>
      </c>
    </row>
    <row r="89" spans="1:8" ht="12.5" customHeight="1" x14ac:dyDescent="0.45">
      <c r="A89" s="10" t="s">
        <v>187</v>
      </c>
      <c r="B89" s="11">
        <v>36431182</v>
      </c>
      <c r="C89" s="11">
        <v>951171</v>
      </c>
      <c r="D89" s="11">
        <v>14540860</v>
      </c>
      <c r="E89" s="11">
        <v>11266844</v>
      </c>
      <c r="F89" s="11">
        <v>4238356</v>
      </c>
      <c r="G89" s="11">
        <v>1187262</v>
      </c>
      <c r="H89" s="11">
        <v>4246689</v>
      </c>
    </row>
    <row r="90" spans="1:8" ht="12.5" customHeight="1" x14ac:dyDescent="0.45">
      <c r="A90" s="10" t="s">
        <v>189</v>
      </c>
      <c r="B90" s="11">
        <v>386730</v>
      </c>
      <c r="C90" s="11">
        <v>0</v>
      </c>
      <c r="D90" s="11">
        <v>46453</v>
      </c>
      <c r="E90" s="11">
        <v>199730</v>
      </c>
      <c r="F90" s="11">
        <v>99911</v>
      </c>
      <c r="G90" s="11">
        <v>40636</v>
      </c>
      <c r="H90" s="11">
        <v>0</v>
      </c>
    </row>
    <row r="91" spans="1:8" ht="12.5" customHeight="1" x14ac:dyDescent="0.45">
      <c r="A91" s="10" t="s">
        <v>191</v>
      </c>
      <c r="B91" s="11">
        <v>21141665</v>
      </c>
      <c r="C91" s="11">
        <v>95539</v>
      </c>
      <c r="D91" s="11">
        <v>8625802</v>
      </c>
      <c r="E91" s="11">
        <v>8335626</v>
      </c>
      <c r="F91" s="11">
        <v>2311723</v>
      </c>
      <c r="G91" s="11">
        <v>1150396</v>
      </c>
      <c r="H91" s="11">
        <v>622579</v>
      </c>
    </row>
    <row r="92" spans="1:8" ht="12.5" customHeight="1" x14ac:dyDescent="0.45">
      <c r="A92" s="10" t="s">
        <v>192</v>
      </c>
      <c r="B92" s="11">
        <v>11432913</v>
      </c>
      <c r="C92" s="11">
        <v>95539</v>
      </c>
      <c r="D92" s="11">
        <v>3950305</v>
      </c>
      <c r="E92" s="11">
        <v>4766288</v>
      </c>
      <c r="F92" s="11">
        <v>1198003</v>
      </c>
      <c r="G92" s="11">
        <v>882262</v>
      </c>
      <c r="H92" s="11">
        <v>540516</v>
      </c>
    </row>
    <row r="93" spans="1:8" ht="12.5" customHeight="1" x14ac:dyDescent="0.45">
      <c r="A93" s="10" t="s">
        <v>193</v>
      </c>
      <c r="B93" s="11">
        <v>5945945</v>
      </c>
      <c r="C93" s="11">
        <v>0</v>
      </c>
      <c r="D93" s="11">
        <v>3288828</v>
      </c>
      <c r="E93" s="11">
        <v>1947117</v>
      </c>
      <c r="F93" s="11">
        <v>710000</v>
      </c>
      <c r="G93" s="11">
        <v>0</v>
      </c>
      <c r="H93" s="11">
        <v>0</v>
      </c>
    </row>
    <row r="94" spans="1:8" ht="12.5" customHeight="1" x14ac:dyDescent="0.45">
      <c r="A94" s="10" t="s">
        <v>194</v>
      </c>
      <c r="B94" s="11">
        <v>3762807</v>
      </c>
      <c r="C94" s="11">
        <v>0</v>
      </c>
      <c r="D94" s="11">
        <v>1386669</v>
      </c>
      <c r="E94" s="11">
        <v>1622221</v>
      </c>
      <c r="F94" s="11">
        <v>403720</v>
      </c>
      <c r="G94" s="11">
        <v>268134</v>
      </c>
      <c r="H94" s="11">
        <v>82063</v>
      </c>
    </row>
    <row r="95" spans="1:8" ht="12.5" customHeight="1" x14ac:dyDescent="0.45">
      <c r="A95" s="10" t="s">
        <v>197</v>
      </c>
      <c r="B95" s="11">
        <v>18638840</v>
      </c>
      <c r="C95" s="11">
        <v>5331900</v>
      </c>
      <c r="D95" s="11">
        <v>5172209</v>
      </c>
      <c r="E95" s="11">
        <v>5802850</v>
      </c>
      <c r="F95" s="11">
        <v>1704481</v>
      </c>
      <c r="G95" s="11">
        <v>627400</v>
      </c>
      <c r="H95" s="11">
        <v>0</v>
      </c>
    </row>
    <row r="96" spans="1:8" ht="12.5" customHeight="1" x14ac:dyDescent="0.45">
      <c r="A96" s="10" t="s">
        <v>200</v>
      </c>
      <c r="B96" s="11">
        <v>649452</v>
      </c>
      <c r="C96" s="11">
        <v>0</v>
      </c>
      <c r="D96" s="11">
        <v>0</v>
      </c>
      <c r="E96" s="11">
        <v>0</v>
      </c>
      <c r="F96" s="11">
        <v>649452</v>
      </c>
      <c r="G96" s="11">
        <v>0</v>
      </c>
      <c r="H96" s="11">
        <v>0</v>
      </c>
    </row>
    <row r="97" spans="1:8" ht="12.5" customHeight="1" x14ac:dyDescent="0.45">
      <c r="A97" s="10" t="s">
        <v>202</v>
      </c>
      <c r="B97" s="11">
        <v>5979232</v>
      </c>
      <c r="C97" s="11">
        <v>101000</v>
      </c>
      <c r="D97" s="11">
        <v>2488842</v>
      </c>
      <c r="E97" s="11">
        <v>2427000</v>
      </c>
      <c r="F97" s="11">
        <v>590290</v>
      </c>
      <c r="G97" s="11">
        <v>372100</v>
      </c>
      <c r="H97" s="11">
        <v>0</v>
      </c>
    </row>
    <row r="98" spans="1:8" ht="12.5" customHeight="1" x14ac:dyDescent="0.45">
      <c r="A98" s="10" t="s">
        <v>203</v>
      </c>
      <c r="B98" s="11">
        <v>3000</v>
      </c>
      <c r="C98" s="11">
        <v>0</v>
      </c>
      <c r="D98" s="11">
        <v>3000</v>
      </c>
      <c r="E98" s="11">
        <v>0</v>
      </c>
      <c r="F98" s="11">
        <v>0</v>
      </c>
      <c r="G98" s="11">
        <v>0</v>
      </c>
      <c r="H98" s="11">
        <v>0</v>
      </c>
    </row>
    <row r="99" spans="1:8" ht="12.5" customHeight="1" x14ac:dyDescent="0.45">
      <c r="A99" s="10" t="s">
        <v>204</v>
      </c>
      <c r="B99" s="11">
        <v>970000</v>
      </c>
      <c r="C99" s="11">
        <v>0</v>
      </c>
      <c r="D99" s="11">
        <v>0</v>
      </c>
      <c r="E99" s="11">
        <v>970000</v>
      </c>
      <c r="F99" s="11">
        <v>0</v>
      </c>
      <c r="G99" s="11">
        <v>0</v>
      </c>
      <c r="H99" s="11">
        <v>0</v>
      </c>
    </row>
    <row r="100" spans="1:8" ht="12.5" customHeight="1" x14ac:dyDescent="0.45">
      <c r="A100" s="10" t="s">
        <v>205</v>
      </c>
      <c r="B100" s="11">
        <v>5840856</v>
      </c>
      <c r="C100" s="11">
        <v>34600</v>
      </c>
      <c r="D100" s="11">
        <v>2680367</v>
      </c>
      <c r="E100" s="11">
        <v>2405850</v>
      </c>
      <c r="F100" s="11">
        <v>464739</v>
      </c>
      <c r="G100" s="11">
        <v>255300</v>
      </c>
      <c r="H100" s="11">
        <v>0</v>
      </c>
    </row>
    <row r="101" spans="1:8" ht="12.5" customHeight="1" x14ac:dyDescent="0.45">
      <c r="A101" s="10" t="s">
        <v>207</v>
      </c>
      <c r="B101" s="11">
        <v>5196300</v>
      </c>
      <c r="C101" s="11">
        <v>5196300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</row>
    <row r="102" spans="1:8" ht="12.5" customHeight="1" x14ac:dyDescent="0.45">
      <c r="A102" s="10" t="s">
        <v>215</v>
      </c>
      <c r="B102" s="11">
        <v>310858305</v>
      </c>
      <c r="C102" s="11">
        <v>0</v>
      </c>
      <c r="D102" s="11">
        <v>121769801</v>
      </c>
      <c r="E102" s="11">
        <v>119639081</v>
      </c>
      <c r="F102" s="11">
        <v>3618402</v>
      </c>
      <c r="G102" s="11">
        <v>336700</v>
      </c>
      <c r="H102" s="11">
        <v>65494321</v>
      </c>
    </row>
    <row r="103" spans="1:8" ht="12.5" customHeight="1" x14ac:dyDescent="0.45">
      <c r="A103" s="10" t="s">
        <v>216</v>
      </c>
      <c r="B103" s="11">
        <v>110351770</v>
      </c>
      <c r="C103" s="11">
        <v>0</v>
      </c>
      <c r="D103" s="11">
        <v>50852020</v>
      </c>
      <c r="E103" s="11">
        <v>52212550</v>
      </c>
      <c r="F103" s="11">
        <v>0</v>
      </c>
      <c r="G103" s="11">
        <v>0</v>
      </c>
      <c r="H103" s="11">
        <v>7287200</v>
      </c>
    </row>
    <row r="104" spans="1:8" ht="12.5" customHeight="1" x14ac:dyDescent="0.45">
      <c r="A104" s="10" t="s">
        <v>218</v>
      </c>
      <c r="B104" s="11">
        <v>685030</v>
      </c>
      <c r="C104" s="11">
        <v>0</v>
      </c>
      <c r="D104" s="11">
        <v>0</v>
      </c>
      <c r="E104" s="11">
        <v>0</v>
      </c>
      <c r="F104" s="11">
        <v>348330</v>
      </c>
      <c r="G104" s="11">
        <v>336700</v>
      </c>
      <c r="H104" s="11">
        <v>0</v>
      </c>
    </row>
    <row r="105" spans="1:8" ht="12.5" customHeight="1" x14ac:dyDescent="0.45">
      <c r="A105" s="10" t="s">
        <v>219</v>
      </c>
      <c r="B105" s="11">
        <v>2218547</v>
      </c>
      <c r="C105" s="11">
        <v>0</v>
      </c>
      <c r="D105" s="11">
        <v>1805917</v>
      </c>
      <c r="E105" s="11">
        <v>412630</v>
      </c>
      <c r="F105" s="11">
        <v>0</v>
      </c>
      <c r="G105" s="11">
        <v>0</v>
      </c>
      <c r="H105" s="11">
        <v>0</v>
      </c>
    </row>
    <row r="106" spans="1:8" ht="12.5" customHeight="1" x14ac:dyDescent="0.45">
      <c r="A106" s="10" t="s">
        <v>220</v>
      </c>
      <c r="B106" s="11">
        <v>129431100</v>
      </c>
      <c r="C106" s="11">
        <v>0</v>
      </c>
      <c r="D106" s="11">
        <v>54148800</v>
      </c>
      <c r="E106" s="11">
        <v>56617200</v>
      </c>
      <c r="F106" s="11">
        <v>0</v>
      </c>
      <c r="G106" s="11">
        <v>0</v>
      </c>
      <c r="H106" s="11">
        <v>18665100</v>
      </c>
    </row>
    <row r="107" spans="1:8" ht="12.5" customHeight="1" x14ac:dyDescent="0.45">
      <c r="A107" s="10" t="s">
        <v>221</v>
      </c>
      <c r="B107" s="11">
        <v>3270072</v>
      </c>
      <c r="C107" s="11">
        <v>0</v>
      </c>
      <c r="D107" s="11">
        <v>0</v>
      </c>
      <c r="E107" s="11">
        <v>0</v>
      </c>
      <c r="F107" s="11">
        <v>3270072</v>
      </c>
      <c r="G107" s="11">
        <v>0</v>
      </c>
      <c r="H107" s="11">
        <v>0</v>
      </c>
    </row>
    <row r="108" spans="1:8" ht="12.5" customHeight="1" x14ac:dyDescent="0.45">
      <c r="A108" s="10" t="s">
        <v>222</v>
      </c>
      <c r="B108" s="11">
        <v>62283604</v>
      </c>
      <c r="C108" s="11">
        <v>0</v>
      </c>
      <c r="D108" s="11">
        <v>14963064</v>
      </c>
      <c r="E108" s="11">
        <v>10396701</v>
      </c>
      <c r="F108" s="11">
        <v>0</v>
      </c>
      <c r="G108" s="11">
        <v>0</v>
      </c>
      <c r="H108" s="11">
        <v>36923839</v>
      </c>
    </row>
    <row r="109" spans="1:8" ht="12.5" customHeight="1" x14ac:dyDescent="0.45">
      <c r="A109" s="10" t="s">
        <v>224</v>
      </c>
      <c r="B109" s="11">
        <v>2618182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2618182</v>
      </c>
    </row>
    <row r="110" spans="1:8" ht="12.5" customHeight="1" x14ac:dyDescent="0.45">
      <c r="A110" s="10" t="s">
        <v>227</v>
      </c>
      <c r="B110" s="11">
        <v>5184484</v>
      </c>
      <c r="C110" s="11">
        <v>0</v>
      </c>
      <c r="D110" s="11">
        <v>0</v>
      </c>
      <c r="E110" s="11">
        <v>0</v>
      </c>
      <c r="F110" s="11">
        <v>-2607334</v>
      </c>
      <c r="G110" s="11">
        <v>-545454</v>
      </c>
      <c r="H110" s="11">
        <v>8337272</v>
      </c>
    </row>
    <row r="111" spans="1:8" ht="12.5" customHeight="1" x14ac:dyDescent="0.45">
      <c r="A111" s="10" t="s">
        <v>232</v>
      </c>
      <c r="B111" s="11">
        <v>-3152788</v>
      </c>
      <c r="C111" s="11">
        <v>0</v>
      </c>
      <c r="D111" s="11">
        <v>0</v>
      </c>
      <c r="E111" s="11">
        <v>0</v>
      </c>
      <c r="F111" s="11">
        <v>-2607334</v>
      </c>
      <c r="G111" s="11">
        <v>-545454</v>
      </c>
      <c r="H111" s="11">
        <v>0</v>
      </c>
    </row>
    <row r="112" spans="1:8" ht="12.5" customHeight="1" x14ac:dyDescent="0.45">
      <c r="A112" s="10" t="s">
        <v>235</v>
      </c>
      <c r="B112" s="11">
        <v>8337272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8337272</v>
      </c>
    </row>
    <row r="113" spans="1:8" ht="12.5" customHeight="1" x14ac:dyDescent="0.45">
      <c r="A113" s="10" t="s">
        <v>253</v>
      </c>
      <c r="B113" s="11">
        <v>941911794</v>
      </c>
      <c r="C113" s="11">
        <v>-76860219</v>
      </c>
      <c r="D113" s="11">
        <v>555243818</v>
      </c>
      <c r="E113" s="11">
        <v>271536448</v>
      </c>
      <c r="F113" s="11">
        <v>164236790</v>
      </c>
      <c r="G113" s="11">
        <v>93863518</v>
      </c>
      <c r="H113" s="11">
        <v>-66108561</v>
      </c>
    </row>
    <row r="114" spans="1:8" ht="12.5" customHeight="1" x14ac:dyDescent="0.45">
      <c r="A114" s="10" t="s">
        <v>254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</row>
    <row r="115" spans="1:8" ht="12.5" customHeight="1" x14ac:dyDescent="0.45">
      <c r="A115" s="10" t="s">
        <v>255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</row>
    <row r="116" spans="1:8" ht="12.5" customHeight="1" x14ac:dyDescent="0.45">
      <c r="A116" s="10" t="s">
        <v>256</v>
      </c>
      <c r="B116" s="11">
        <v>941911794</v>
      </c>
      <c r="C116" s="11">
        <v>-76860219</v>
      </c>
      <c r="D116" s="11">
        <v>555243818</v>
      </c>
      <c r="E116" s="11">
        <v>271536448</v>
      </c>
      <c r="F116" s="11">
        <v>164236790</v>
      </c>
      <c r="G116" s="11">
        <v>93863518</v>
      </c>
      <c r="H116" s="11">
        <v>-66108561</v>
      </c>
    </row>
    <row r="117" spans="1:8" ht="12.5" customHeight="1" x14ac:dyDescent="0.45">
      <c r="A117" s="10" t="s">
        <v>257</v>
      </c>
      <c r="B117" s="11">
        <v>941911794</v>
      </c>
      <c r="C117" s="11">
        <v>-76860219</v>
      </c>
      <c r="D117" s="11">
        <v>555243818</v>
      </c>
      <c r="E117" s="11">
        <v>271536448</v>
      </c>
      <c r="F117" s="11">
        <v>164236790</v>
      </c>
      <c r="G117" s="11">
        <v>93863518</v>
      </c>
      <c r="H117" s="11">
        <v>-66108561</v>
      </c>
    </row>
    <row r="118" spans="1:8" ht="12.5" customHeight="1" x14ac:dyDescent="0.45">
      <c r="A118" s="10" t="s">
        <v>258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</row>
    <row r="119" spans="1:8" ht="12.5" customHeight="1" x14ac:dyDescent="0.45">
      <c r="A119" s="10" t="s">
        <v>259</v>
      </c>
      <c r="B119" s="11">
        <v>941911794</v>
      </c>
      <c r="C119" s="11">
        <v>-76860219</v>
      </c>
      <c r="D119" s="11">
        <v>555243818</v>
      </c>
      <c r="E119" s="11">
        <v>271536448</v>
      </c>
      <c r="F119" s="11">
        <v>164236790</v>
      </c>
      <c r="G119" s="11">
        <v>93863518</v>
      </c>
      <c r="H119" s="11">
        <v>-66108561</v>
      </c>
    </row>
    <row r="120" spans="1:8" ht="12.5" customHeight="1" x14ac:dyDescent="0.45">
      <c r="A120" s="10" t="s">
        <v>260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</row>
    <row r="121" spans="1:8" ht="12.5" customHeight="1" x14ac:dyDescent="0.45">
      <c r="A121" s="10" t="s">
        <v>261</v>
      </c>
      <c r="B121" s="11">
        <v>941911794</v>
      </c>
      <c r="C121" s="11">
        <v>-76860219</v>
      </c>
      <c r="D121" s="11">
        <v>555243818</v>
      </c>
      <c r="E121" s="11">
        <v>271536448</v>
      </c>
      <c r="F121" s="11">
        <v>164236790</v>
      </c>
      <c r="G121" s="11">
        <v>93863518</v>
      </c>
      <c r="H121" s="11">
        <v>-66108561</v>
      </c>
    </row>
    <row r="122" spans="1:8" ht="12.5" customHeight="1" x14ac:dyDescent="0.45">
      <c r="A122" s="10" t="s">
        <v>262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</row>
    <row r="123" spans="1:8" ht="12.5" customHeight="1" x14ac:dyDescent="0.45">
      <c r="A123" s="10" t="s">
        <v>263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</row>
    <row r="124" spans="1:8" ht="12.5" customHeight="1" x14ac:dyDescent="0.45">
      <c r="A124" s="10" t="s">
        <v>264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</row>
    <row r="125" spans="1:8" ht="12.5" customHeight="1" x14ac:dyDescent="0.45">
      <c r="A125" s="10" t="s">
        <v>265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</row>
    <row r="126" spans="1:8" ht="12.5" customHeight="1" x14ac:dyDescent="0.45">
      <c r="A126" s="10" t="s">
        <v>266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F399-B746-45BE-8F6F-EE452ACCC50B}">
  <dimension ref="A1:H125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299</v>
      </c>
      <c r="D1" s="9" t="s">
        <v>300</v>
      </c>
      <c r="E1" s="9" t="s">
        <v>301</v>
      </c>
      <c r="F1" s="9" t="s">
        <v>302</v>
      </c>
      <c r="G1" s="9" t="s">
        <v>303</v>
      </c>
      <c r="H1" s="9" t="s">
        <v>304</v>
      </c>
    </row>
    <row r="2" spans="1:8" ht="12.5" customHeight="1" x14ac:dyDescent="0.45">
      <c r="A2" s="76" t="s">
        <v>0</v>
      </c>
      <c r="B2" s="76" t="s">
        <v>250</v>
      </c>
      <c r="C2" s="9" t="s">
        <v>305</v>
      </c>
      <c r="D2" s="9" t="s">
        <v>306</v>
      </c>
      <c r="E2" s="9" t="s">
        <v>307</v>
      </c>
      <c r="F2" s="9" t="s">
        <v>308</v>
      </c>
      <c r="G2" s="9" t="s">
        <v>309</v>
      </c>
      <c r="H2" s="9" t="s">
        <v>310</v>
      </c>
    </row>
    <row r="3" spans="1:8" ht="12.5" customHeight="1" x14ac:dyDescent="0.45">
      <c r="A3" s="10" t="s">
        <v>251</v>
      </c>
      <c r="B3" s="11">
        <v>755501863</v>
      </c>
      <c r="C3" s="11">
        <v>-93301774</v>
      </c>
      <c r="D3" s="11">
        <v>308177952</v>
      </c>
      <c r="E3" s="11">
        <v>277379263</v>
      </c>
      <c r="F3" s="11">
        <v>178830956</v>
      </c>
      <c r="G3" s="11">
        <v>45493491</v>
      </c>
      <c r="H3" s="11">
        <v>38921975</v>
      </c>
    </row>
    <row r="4" spans="1:8" ht="12.5" customHeight="1" x14ac:dyDescent="0.45">
      <c r="A4" s="10" t="s">
        <v>1</v>
      </c>
      <c r="B4" s="11">
        <v>5635568277</v>
      </c>
      <c r="C4" s="11">
        <v>0</v>
      </c>
      <c r="D4" s="11">
        <v>2187789434</v>
      </c>
      <c r="E4" s="11">
        <v>2265285232</v>
      </c>
      <c r="F4" s="11">
        <v>494693222</v>
      </c>
      <c r="G4" s="11">
        <v>302628394</v>
      </c>
      <c r="H4" s="11">
        <v>385171995</v>
      </c>
    </row>
    <row r="5" spans="1:8" ht="12.5" customHeight="1" x14ac:dyDescent="0.45">
      <c r="A5" s="10" t="s">
        <v>2</v>
      </c>
      <c r="B5" s="11">
        <v>1994195660</v>
      </c>
      <c r="C5" s="11">
        <v>0</v>
      </c>
      <c r="D5" s="11">
        <v>952855043</v>
      </c>
      <c r="E5" s="11">
        <v>1015290489</v>
      </c>
      <c r="F5" s="11">
        <v>861989</v>
      </c>
      <c r="G5" s="11">
        <v>413047</v>
      </c>
      <c r="H5" s="11">
        <v>24775092</v>
      </c>
    </row>
    <row r="6" spans="1:8" ht="12.5" customHeight="1" x14ac:dyDescent="0.45">
      <c r="A6" s="10" t="s">
        <v>3</v>
      </c>
      <c r="B6" s="11">
        <v>6551478</v>
      </c>
      <c r="C6" s="11">
        <v>0</v>
      </c>
      <c r="D6" s="11">
        <v>2111091</v>
      </c>
      <c r="E6" s="11">
        <v>4440387</v>
      </c>
      <c r="F6" s="11">
        <v>0</v>
      </c>
      <c r="G6" s="11">
        <v>0</v>
      </c>
      <c r="H6" s="11">
        <v>0</v>
      </c>
    </row>
    <row r="7" spans="1:8" ht="12.5" customHeight="1" x14ac:dyDescent="0.45">
      <c r="A7" s="10" t="s">
        <v>6</v>
      </c>
      <c r="B7" s="11">
        <v>1879651928</v>
      </c>
      <c r="C7" s="11">
        <v>0</v>
      </c>
      <c r="D7" s="11">
        <v>909517133</v>
      </c>
      <c r="E7" s="11">
        <v>944084667</v>
      </c>
      <c r="F7" s="11">
        <v>861989</v>
      </c>
      <c r="G7" s="11">
        <v>413047</v>
      </c>
      <c r="H7" s="11">
        <v>24775092</v>
      </c>
    </row>
    <row r="8" spans="1:8" ht="12.5" customHeight="1" x14ac:dyDescent="0.45">
      <c r="A8" s="10" t="s">
        <v>7</v>
      </c>
      <c r="B8" s="11">
        <v>50175462</v>
      </c>
      <c r="C8" s="11">
        <v>0</v>
      </c>
      <c r="D8" s="11">
        <v>19804521</v>
      </c>
      <c r="E8" s="11">
        <v>30370941</v>
      </c>
      <c r="F8" s="11">
        <v>0</v>
      </c>
      <c r="G8" s="11">
        <v>0</v>
      </c>
      <c r="H8" s="11">
        <v>0</v>
      </c>
    </row>
    <row r="9" spans="1:8" ht="12.5" customHeight="1" x14ac:dyDescent="0.45">
      <c r="A9" s="10" t="s">
        <v>9</v>
      </c>
      <c r="B9" s="11">
        <v>57816792</v>
      </c>
      <c r="C9" s="11">
        <v>0</v>
      </c>
      <c r="D9" s="11">
        <v>21422298</v>
      </c>
      <c r="E9" s="11">
        <v>36394494</v>
      </c>
      <c r="F9" s="11">
        <v>0</v>
      </c>
      <c r="G9" s="11">
        <v>0</v>
      </c>
      <c r="H9" s="11">
        <v>0</v>
      </c>
    </row>
    <row r="10" spans="1:8" ht="12.5" customHeight="1" x14ac:dyDescent="0.45">
      <c r="A10" s="10" t="s">
        <v>11</v>
      </c>
      <c r="B10" s="11">
        <v>3641372617</v>
      </c>
      <c r="C10" s="11">
        <v>0</v>
      </c>
      <c r="D10" s="11">
        <v>1234934391</v>
      </c>
      <c r="E10" s="11">
        <v>1249994743</v>
      </c>
      <c r="F10" s="11">
        <v>493831233</v>
      </c>
      <c r="G10" s="11">
        <v>302215347</v>
      </c>
      <c r="H10" s="11">
        <v>360396903</v>
      </c>
    </row>
    <row r="11" spans="1:8" ht="12.5" customHeight="1" x14ac:dyDescent="0.45">
      <c r="A11" s="10" t="s">
        <v>12</v>
      </c>
      <c r="B11" s="11">
        <v>1647684587</v>
      </c>
      <c r="C11" s="11">
        <v>0</v>
      </c>
      <c r="D11" s="11">
        <v>798693667</v>
      </c>
      <c r="E11" s="11">
        <v>820751015</v>
      </c>
      <c r="F11" s="11">
        <v>-100425</v>
      </c>
      <c r="G11" s="11">
        <v>199</v>
      </c>
      <c r="H11" s="11">
        <v>28340131</v>
      </c>
    </row>
    <row r="12" spans="1:8" ht="12.5" customHeight="1" x14ac:dyDescent="0.45">
      <c r="A12" s="10" t="s">
        <v>13</v>
      </c>
      <c r="B12" s="11">
        <v>10911668</v>
      </c>
      <c r="C12" s="11">
        <v>0</v>
      </c>
      <c r="D12" s="11">
        <v>3136372</v>
      </c>
      <c r="E12" s="11">
        <v>1363636</v>
      </c>
      <c r="F12" s="11">
        <v>0</v>
      </c>
      <c r="G12" s="11">
        <v>0</v>
      </c>
      <c r="H12" s="11">
        <v>6411660</v>
      </c>
    </row>
    <row r="13" spans="1:8" ht="12.5" customHeight="1" x14ac:dyDescent="0.45">
      <c r="A13" s="10" t="s">
        <v>14</v>
      </c>
      <c r="B13" s="11">
        <v>727535552</v>
      </c>
      <c r="C13" s="11">
        <v>0</v>
      </c>
      <c r="D13" s="11">
        <v>231953721</v>
      </c>
      <c r="E13" s="11">
        <v>216357048</v>
      </c>
      <c r="F13" s="11">
        <v>162543212</v>
      </c>
      <c r="G13" s="11">
        <v>88348754</v>
      </c>
      <c r="H13" s="11">
        <v>28332817</v>
      </c>
    </row>
    <row r="14" spans="1:8" ht="12.5" customHeight="1" x14ac:dyDescent="0.45">
      <c r="A14" s="10" t="s">
        <v>15</v>
      </c>
      <c r="B14" s="11">
        <v>17791141</v>
      </c>
      <c r="C14" s="11">
        <v>0</v>
      </c>
      <c r="D14" s="11">
        <v>8368360</v>
      </c>
      <c r="E14" s="11">
        <v>7382372</v>
      </c>
      <c r="F14" s="11">
        <v>1206318</v>
      </c>
      <c r="G14" s="11">
        <v>834091</v>
      </c>
      <c r="H14" s="11">
        <v>0</v>
      </c>
    </row>
    <row r="15" spans="1:8" ht="12.5" customHeight="1" x14ac:dyDescent="0.45">
      <c r="A15" s="10" t="s">
        <v>16</v>
      </c>
      <c r="B15" s="11">
        <v>546935401</v>
      </c>
      <c r="C15" s="11">
        <v>0</v>
      </c>
      <c r="D15" s="11">
        <v>119145900</v>
      </c>
      <c r="E15" s="11">
        <v>130504301</v>
      </c>
      <c r="F15" s="11">
        <v>27273</v>
      </c>
      <c r="G15" s="11">
        <v>-54368</v>
      </c>
      <c r="H15" s="11">
        <v>297312295</v>
      </c>
    </row>
    <row r="16" spans="1:8" ht="12.5" customHeight="1" x14ac:dyDescent="0.45">
      <c r="A16" s="10" t="s">
        <v>20</v>
      </c>
      <c r="B16" s="11">
        <v>543241526</v>
      </c>
      <c r="C16" s="11">
        <v>0</v>
      </c>
      <c r="D16" s="11">
        <v>0</v>
      </c>
      <c r="E16" s="11">
        <v>0</v>
      </c>
      <c r="F16" s="11">
        <v>330154855</v>
      </c>
      <c r="G16" s="11">
        <v>213086671</v>
      </c>
      <c r="H16" s="11">
        <v>0</v>
      </c>
    </row>
    <row r="17" spans="1:8" ht="12.5" customHeight="1" x14ac:dyDescent="0.45">
      <c r="A17" s="10" t="s">
        <v>21</v>
      </c>
      <c r="B17" s="11">
        <v>147272742</v>
      </c>
      <c r="C17" s="11">
        <v>0</v>
      </c>
      <c r="D17" s="11">
        <v>73636371</v>
      </c>
      <c r="E17" s="11">
        <v>73636371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2350875464</v>
      </c>
      <c r="C18" s="11">
        <v>0</v>
      </c>
      <c r="D18" s="11">
        <v>1132969520</v>
      </c>
      <c r="E18" s="11">
        <v>1179646671</v>
      </c>
      <c r="F18" s="11">
        <v>0</v>
      </c>
      <c r="G18" s="11">
        <v>0</v>
      </c>
      <c r="H18" s="11">
        <v>38259273</v>
      </c>
    </row>
    <row r="19" spans="1:8" ht="12.5" customHeight="1" x14ac:dyDescent="0.45">
      <c r="A19" s="10" t="s">
        <v>24</v>
      </c>
      <c r="B19" s="11">
        <v>2350875464</v>
      </c>
      <c r="C19" s="11">
        <v>0</v>
      </c>
      <c r="D19" s="11">
        <v>1132969520</v>
      </c>
      <c r="E19" s="11">
        <v>1179646671</v>
      </c>
      <c r="F19" s="11">
        <v>0</v>
      </c>
      <c r="G19" s="11">
        <v>0</v>
      </c>
      <c r="H19" s="11">
        <v>38259273</v>
      </c>
    </row>
    <row r="20" spans="1:8" ht="12.5" customHeight="1" x14ac:dyDescent="0.45">
      <c r="A20" s="10" t="s">
        <v>25</v>
      </c>
      <c r="B20" s="11">
        <v>3284692813</v>
      </c>
      <c r="C20" s="11">
        <v>0</v>
      </c>
      <c r="D20" s="11">
        <v>1054819914</v>
      </c>
      <c r="E20" s="11">
        <v>1085638561</v>
      </c>
      <c r="F20" s="11">
        <v>494693222</v>
      </c>
      <c r="G20" s="11">
        <v>302628394</v>
      </c>
      <c r="H20" s="11">
        <v>346912722</v>
      </c>
    </row>
    <row r="21" spans="1:8" ht="12.5" customHeight="1" x14ac:dyDescent="0.45">
      <c r="A21" s="10" t="s">
        <v>26</v>
      </c>
      <c r="B21" s="11">
        <v>2529190950</v>
      </c>
      <c r="C21" s="11">
        <v>93301774</v>
      </c>
      <c r="D21" s="11">
        <v>746641962</v>
      </c>
      <c r="E21" s="11">
        <v>808259298</v>
      </c>
      <c r="F21" s="11">
        <v>315862266</v>
      </c>
      <c r="G21" s="11">
        <v>257134903</v>
      </c>
      <c r="H21" s="11">
        <v>307990747</v>
      </c>
    </row>
    <row r="22" spans="1:8" ht="12.5" customHeight="1" x14ac:dyDescent="0.45">
      <c r="A22" s="10" t="s">
        <v>27</v>
      </c>
      <c r="B22" s="11">
        <v>11268110</v>
      </c>
      <c r="C22" s="11">
        <v>11268110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</row>
    <row r="23" spans="1:8" ht="12.5" customHeight="1" x14ac:dyDescent="0.45">
      <c r="A23" s="10" t="s">
        <v>28</v>
      </c>
      <c r="B23" s="11">
        <v>1079403770</v>
      </c>
      <c r="C23" s="11">
        <v>34282410</v>
      </c>
      <c r="D23" s="11">
        <v>348668000</v>
      </c>
      <c r="E23" s="11">
        <v>366139650</v>
      </c>
      <c r="F23" s="11">
        <v>146316290</v>
      </c>
      <c r="G23" s="11">
        <v>126594490</v>
      </c>
      <c r="H23" s="11">
        <v>57402930</v>
      </c>
    </row>
    <row r="24" spans="1:8" ht="12.5" customHeight="1" x14ac:dyDescent="0.45">
      <c r="A24" s="10" t="s">
        <v>29</v>
      </c>
      <c r="B24" s="11">
        <v>71726040</v>
      </c>
      <c r="C24" s="11">
        <v>19358050</v>
      </c>
      <c r="D24" s="11">
        <v>7916410</v>
      </c>
      <c r="E24" s="11">
        <v>17766530</v>
      </c>
      <c r="F24" s="11">
        <v>7175350</v>
      </c>
      <c r="G24" s="11">
        <v>14734660</v>
      </c>
      <c r="H24" s="11">
        <v>4775040</v>
      </c>
    </row>
    <row r="25" spans="1:8" ht="12.5" customHeight="1" x14ac:dyDescent="0.45">
      <c r="A25" s="10" t="s">
        <v>30</v>
      </c>
      <c r="B25" s="11">
        <v>13251100</v>
      </c>
      <c r="C25" s="11">
        <v>3507840</v>
      </c>
      <c r="D25" s="11">
        <v>1514400</v>
      </c>
      <c r="E25" s="11">
        <v>3271920</v>
      </c>
      <c r="F25" s="11">
        <v>1276310</v>
      </c>
      <c r="G25" s="11">
        <v>2728840</v>
      </c>
      <c r="H25" s="11">
        <v>951790</v>
      </c>
    </row>
    <row r="26" spans="1:8" ht="12.5" customHeight="1" x14ac:dyDescent="0.45">
      <c r="A26" s="10" t="s">
        <v>31</v>
      </c>
      <c r="B26" s="11">
        <v>3500000</v>
      </c>
      <c r="C26" s="11">
        <v>700000</v>
      </c>
      <c r="D26" s="11">
        <v>700000</v>
      </c>
      <c r="E26" s="11">
        <v>700000</v>
      </c>
      <c r="F26" s="11">
        <v>0</v>
      </c>
      <c r="G26" s="11">
        <v>700000</v>
      </c>
      <c r="H26" s="11">
        <v>700000</v>
      </c>
    </row>
    <row r="27" spans="1:8" ht="12.5" customHeight="1" x14ac:dyDescent="0.45">
      <c r="A27" s="10" t="s">
        <v>32</v>
      </c>
      <c r="B27" s="11">
        <v>6452820</v>
      </c>
      <c r="C27" s="11">
        <v>6199250</v>
      </c>
      <c r="D27" s="11">
        <v>253570</v>
      </c>
      <c r="E27" s="11">
        <v>0</v>
      </c>
      <c r="F27" s="11">
        <v>0</v>
      </c>
      <c r="G27" s="11">
        <v>0</v>
      </c>
      <c r="H27" s="11">
        <v>0</v>
      </c>
    </row>
    <row r="28" spans="1:8" ht="12.5" customHeight="1" x14ac:dyDescent="0.45">
      <c r="A28" s="10" t="s">
        <v>33</v>
      </c>
      <c r="B28" s="11">
        <v>1650630</v>
      </c>
      <c r="C28" s="11">
        <v>0</v>
      </c>
      <c r="D28" s="11">
        <v>443330</v>
      </c>
      <c r="E28" s="11">
        <v>705090</v>
      </c>
      <c r="F28" s="11">
        <v>333950</v>
      </c>
      <c r="G28" s="11">
        <v>168260</v>
      </c>
      <c r="H28" s="11">
        <v>0</v>
      </c>
    </row>
    <row r="29" spans="1:8" ht="12.5" customHeight="1" x14ac:dyDescent="0.45">
      <c r="A29" s="10" t="s">
        <v>34</v>
      </c>
      <c r="B29" s="11">
        <v>577550</v>
      </c>
      <c r="C29" s="11">
        <v>47550</v>
      </c>
      <c r="D29" s="11">
        <v>0</v>
      </c>
      <c r="E29" s="11">
        <v>0</v>
      </c>
      <c r="F29" s="11">
        <v>0</v>
      </c>
      <c r="G29" s="11">
        <v>530000</v>
      </c>
      <c r="H29" s="11">
        <v>0</v>
      </c>
    </row>
    <row r="30" spans="1:8" ht="12.5" customHeight="1" x14ac:dyDescent="0.45">
      <c r="A30" s="10" t="s">
        <v>41</v>
      </c>
      <c r="B30" s="11">
        <v>2875000</v>
      </c>
      <c r="C30" s="11">
        <v>700000</v>
      </c>
      <c r="D30" s="11">
        <v>315000</v>
      </c>
      <c r="E30" s="11">
        <v>775000</v>
      </c>
      <c r="F30" s="11">
        <v>310000</v>
      </c>
      <c r="G30" s="11">
        <v>620000</v>
      </c>
      <c r="H30" s="11">
        <v>155000</v>
      </c>
    </row>
    <row r="31" spans="1:8" ht="12.5" customHeight="1" x14ac:dyDescent="0.45">
      <c r="A31" s="10" t="s">
        <v>46</v>
      </c>
      <c r="B31" s="11">
        <v>753020590</v>
      </c>
      <c r="C31" s="11">
        <v>3100660</v>
      </c>
      <c r="D31" s="11">
        <v>263010570</v>
      </c>
      <c r="E31" s="11">
        <v>266388380</v>
      </c>
      <c r="F31" s="11">
        <v>105779720</v>
      </c>
      <c r="G31" s="11">
        <v>83430360</v>
      </c>
      <c r="H31" s="11">
        <v>31310900</v>
      </c>
    </row>
    <row r="32" spans="1:8" ht="12.5" customHeight="1" x14ac:dyDescent="0.45">
      <c r="A32" s="10" t="s">
        <v>47</v>
      </c>
      <c r="B32" s="11">
        <v>127423120</v>
      </c>
      <c r="C32" s="11">
        <v>514060</v>
      </c>
      <c r="D32" s="11">
        <v>45307420</v>
      </c>
      <c r="E32" s="11">
        <v>44696540</v>
      </c>
      <c r="F32" s="11">
        <v>17993750</v>
      </c>
      <c r="G32" s="11">
        <v>13622910</v>
      </c>
      <c r="H32" s="11">
        <v>5288440</v>
      </c>
    </row>
    <row r="33" spans="1:8" ht="12.5" customHeight="1" x14ac:dyDescent="0.45">
      <c r="A33" s="10" t="s">
        <v>48</v>
      </c>
      <c r="B33" s="11">
        <v>25135510</v>
      </c>
      <c r="C33" s="11">
        <v>0</v>
      </c>
      <c r="D33" s="11">
        <v>9000000</v>
      </c>
      <c r="E33" s="11">
        <v>9635500</v>
      </c>
      <c r="F33" s="11">
        <v>3600010</v>
      </c>
      <c r="G33" s="11">
        <v>2900000</v>
      </c>
      <c r="H33" s="11">
        <v>0</v>
      </c>
    </row>
    <row r="34" spans="1:8" ht="12.5" customHeight="1" x14ac:dyDescent="0.45">
      <c r="A34" s="10" t="s">
        <v>49</v>
      </c>
      <c r="B34" s="11">
        <v>51360000</v>
      </c>
      <c r="C34" s="11">
        <v>155000</v>
      </c>
      <c r="D34" s="11">
        <v>18045000</v>
      </c>
      <c r="E34" s="11">
        <v>18440000</v>
      </c>
      <c r="F34" s="11">
        <v>7030000</v>
      </c>
      <c r="G34" s="11">
        <v>5675000</v>
      </c>
      <c r="H34" s="11">
        <v>2015000</v>
      </c>
    </row>
    <row r="35" spans="1:8" ht="12.5" customHeight="1" x14ac:dyDescent="0.45">
      <c r="A35" s="10" t="s">
        <v>50</v>
      </c>
      <c r="B35" s="11">
        <v>40000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40000</v>
      </c>
    </row>
    <row r="36" spans="1:8" ht="12.5" customHeight="1" x14ac:dyDescent="0.45">
      <c r="A36" s="10" t="s">
        <v>52</v>
      </c>
      <c r="B36" s="11">
        <v>5768300</v>
      </c>
      <c r="C36" s="11">
        <v>0</v>
      </c>
      <c r="D36" s="11">
        <v>884290</v>
      </c>
      <c r="E36" s="11">
        <v>2297080</v>
      </c>
      <c r="F36" s="11">
        <v>1348930</v>
      </c>
      <c r="G36" s="11">
        <v>1238000</v>
      </c>
      <c r="H36" s="11">
        <v>0</v>
      </c>
    </row>
    <row r="37" spans="1:8" ht="12.5" customHeight="1" x14ac:dyDescent="0.45">
      <c r="A37" s="10" t="s">
        <v>53</v>
      </c>
      <c r="B37" s="11">
        <v>12166760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12166760</v>
      </c>
    </row>
    <row r="38" spans="1:8" ht="12.5" customHeight="1" x14ac:dyDescent="0.45">
      <c r="A38" s="10" t="s">
        <v>56</v>
      </c>
      <c r="B38" s="11">
        <v>2256350</v>
      </c>
      <c r="C38" s="11">
        <v>0</v>
      </c>
      <c r="D38" s="11">
        <v>1278010</v>
      </c>
      <c r="E38" s="11">
        <v>263610</v>
      </c>
      <c r="F38" s="11">
        <v>468270</v>
      </c>
      <c r="G38" s="11">
        <v>246460</v>
      </c>
      <c r="H38" s="11">
        <v>0</v>
      </c>
    </row>
    <row r="39" spans="1:8" ht="12.5" customHeight="1" x14ac:dyDescent="0.45">
      <c r="A39" s="10" t="s">
        <v>58</v>
      </c>
      <c r="B39" s="11">
        <v>2200000</v>
      </c>
      <c r="C39" s="11">
        <v>0</v>
      </c>
      <c r="D39" s="11">
        <v>0</v>
      </c>
      <c r="E39" s="11">
        <v>1200000</v>
      </c>
      <c r="F39" s="11">
        <v>1000000</v>
      </c>
      <c r="G39" s="11">
        <v>0</v>
      </c>
      <c r="H39" s="11">
        <v>0</v>
      </c>
    </row>
    <row r="40" spans="1:8" ht="12.5" customHeight="1" x14ac:dyDescent="0.45">
      <c r="A40" s="10" t="s">
        <v>61</v>
      </c>
      <c r="B40" s="11">
        <v>396630090</v>
      </c>
      <c r="C40" s="11">
        <v>21573750</v>
      </c>
      <c r="D40" s="11">
        <v>121663640</v>
      </c>
      <c r="E40" s="11">
        <v>137015110</v>
      </c>
      <c r="F40" s="11">
        <v>52351790</v>
      </c>
      <c r="G40" s="11">
        <v>43894090</v>
      </c>
      <c r="H40" s="11">
        <v>20131710</v>
      </c>
    </row>
    <row r="41" spans="1:8" ht="12.5" customHeight="1" x14ac:dyDescent="0.45">
      <c r="A41" s="10" t="s">
        <v>62</v>
      </c>
      <c r="B41" s="11">
        <v>74522260</v>
      </c>
      <c r="C41" s="11">
        <v>20798750</v>
      </c>
      <c r="D41" s="11">
        <v>7729900</v>
      </c>
      <c r="E41" s="11">
        <v>18320440</v>
      </c>
      <c r="F41" s="11">
        <v>7807180</v>
      </c>
      <c r="G41" s="11">
        <v>15159280</v>
      </c>
      <c r="H41" s="11">
        <v>4706710</v>
      </c>
    </row>
    <row r="42" spans="1:8" ht="12.5" customHeight="1" x14ac:dyDescent="0.45">
      <c r="A42" s="10" t="s">
        <v>66</v>
      </c>
      <c r="B42" s="11">
        <v>320607830</v>
      </c>
      <c r="C42" s="11">
        <v>775000</v>
      </c>
      <c r="D42" s="11">
        <v>113933740</v>
      </c>
      <c r="E42" s="11">
        <v>118694670</v>
      </c>
      <c r="F42" s="11">
        <v>44544610</v>
      </c>
      <c r="G42" s="11">
        <v>28734810</v>
      </c>
      <c r="H42" s="11">
        <v>13925000</v>
      </c>
    </row>
    <row r="43" spans="1:8" ht="12.5" customHeight="1" x14ac:dyDescent="0.45">
      <c r="A43" s="10" t="s">
        <v>67</v>
      </c>
      <c r="B43" s="11">
        <v>1500000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1500000</v>
      </c>
    </row>
    <row r="44" spans="1:8" ht="12.5" customHeight="1" x14ac:dyDescent="0.45">
      <c r="A44" s="10" t="s">
        <v>69</v>
      </c>
      <c r="B44" s="11">
        <v>111137342</v>
      </c>
      <c r="C44" s="11">
        <v>2877266</v>
      </c>
      <c r="D44" s="11">
        <v>35500354</v>
      </c>
      <c r="E44" s="11">
        <v>38102502</v>
      </c>
      <c r="F44" s="11">
        <v>14912863</v>
      </c>
      <c r="G44" s="11">
        <v>12880622</v>
      </c>
      <c r="H44" s="11">
        <v>6863735</v>
      </c>
    </row>
    <row r="45" spans="1:8" ht="12.5" customHeight="1" x14ac:dyDescent="0.45">
      <c r="A45" s="10" t="s">
        <v>70</v>
      </c>
      <c r="B45" s="11">
        <v>111137342</v>
      </c>
      <c r="C45" s="11">
        <v>2877266</v>
      </c>
      <c r="D45" s="11">
        <v>35500354</v>
      </c>
      <c r="E45" s="11">
        <v>38102502</v>
      </c>
      <c r="F45" s="11">
        <v>14912863</v>
      </c>
      <c r="G45" s="11">
        <v>12880622</v>
      </c>
      <c r="H45" s="11">
        <v>6863735</v>
      </c>
    </row>
    <row r="46" spans="1:8" ht="12.5" customHeight="1" x14ac:dyDescent="0.45">
      <c r="A46" s="10" t="s">
        <v>71</v>
      </c>
      <c r="B46" s="11">
        <v>3000000</v>
      </c>
      <c r="C46" s="11">
        <v>0</v>
      </c>
      <c r="D46" s="11">
        <v>500000</v>
      </c>
      <c r="E46" s="11">
        <v>500000</v>
      </c>
      <c r="F46" s="11">
        <v>500000</v>
      </c>
      <c r="G46" s="11">
        <v>1500000</v>
      </c>
      <c r="H46" s="11">
        <v>0</v>
      </c>
    </row>
    <row r="47" spans="1:8" ht="12.5" customHeight="1" x14ac:dyDescent="0.45">
      <c r="A47" s="10" t="s">
        <v>252</v>
      </c>
      <c r="B47" s="11">
        <v>3000000</v>
      </c>
      <c r="C47" s="11">
        <v>0</v>
      </c>
      <c r="D47" s="11">
        <v>500000</v>
      </c>
      <c r="E47" s="11">
        <v>500000</v>
      </c>
      <c r="F47" s="11">
        <v>500000</v>
      </c>
      <c r="G47" s="11">
        <v>1500000</v>
      </c>
      <c r="H47" s="11">
        <v>0</v>
      </c>
    </row>
    <row r="48" spans="1:8" ht="12.5" customHeight="1" x14ac:dyDescent="0.45">
      <c r="A48" s="10" t="s">
        <v>72</v>
      </c>
      <c r="B48" s="11">
        <v>257662634</v>
      </c>
      <c r="C48" s="11">
        <v>5491276</v>
      </c>
      <c r="D48" s="11">
        <v>69028713</v>
      </c>
      <c r="E48" s="11">
        <v>79334261</v>
      </c>
      <c r="F48" s="11">
        <v>42509357</v>
      </c>
      <c r="G48" s="11">
        <v>26125328</v>
      </c>
      <c r="H48" s="11">
        <v>35173699</v>
      </c>
    </row>
    <row r="49" spans="1:8" ht="12.5" customHeight="1" x14ac:dyDescent="0.45">
      <c r="A49" s="10" t="s">
        <v>74</v>
      </c>
      <c r="B49" s="11">
        <v>10642782</v>
      </c>
      <c r="C49" s="11">
        <v>448531</v>
      </c>
      <c r="D49" s="11">
        <v>3267756</v>
      </c>
      <c r="E49" s="11">
        <v>3560792</v>
      </c>
      <c r="F49" s="11">
        <v>1476929</v>
      </c>
      <c r="G49" s="11">
        <v>1205411</v>
      </c>
      <c r="H49" s="11">
        <v>683363</v>
      </c>
    </row>
    <row r="50" spans="1:8" ht="12.5" customHeight="1" x14ac:dyDescent="0.45">
      <c r="A50" s="10" t="s">
        <v>75</v>
      </c>
      <c r="B50" s="11">
        <v>51812180</v>
      </c>
      <c r="C50" s="11">
        <v>1341380</v>
      </c>
      <c r="D50" s="11">
        <v>16550250</v>
      </c>
      <c r="E50" s="11">
        <v>17763370</v>
      </c>
      <c r="F50" s="11">
        <v>6952370</v>
      </c>
      <c r="G50" s="11">
        <v>6004940</v>
      </c>
      <c r="H50" s="11">
        <v>3199870</v>
      </c>
    </row>
    <row r="51" spans="1:8" ht="12.5" customHeight="1" x14ac:dyDescent="0.45">
      <c r="A51" s="10" t="s">
        <v>76</v>
      </c>
      <c r="B51" s="11">
        <v>57310010</v>
      </c>
      <c r="C51" s="11">
        <v>1365410</v>
      </c>
      <c r="D51" s="11">
        <v>18583600</v>
      </c>
      <c r="E51" s="11">
        <v>20248810</v>
      </c>
      <c r="F51" s="11">
        <v>7548360</v>
      </c>
      <c r="G51" s="11">
        <v>6633990</v>
      </c>
      <c r="H51" s="11">
        <v>2929840</v>
      </c>
    </row>
    <row r="52" spans="1:8" ht="12.5" customHeight="1" x14ac:dyDescent="0.45">
      <c r="A52" s="10" t="s">
        <v>77</v>
      </c>
      <c r="B52" s="11">
        <v>19835602</v>
      </c>
      <c r="C52" s="11">
        <v>835955</v>
      </c>
      <c r="D52" s="11">
        <v>6090315</v>
      </c>
      <c r="E52" s="11">
        <v>6636468</v>
      </c>
      <c r="F52" s="11">
        <v>2752642</v>
      </c>
      <c r="G52" s="11">
        <v>2246596</v>
      </c>
      <c r="H52" s="11">
        <v>1273626</v>
      </c>
    </row>
    <row r="53" spans="1:8" ht="12.5" customHeight="1" x14ac:dyDescent="0.45">
      <c r="A53" s="10" t="s">
        <v>79</v>
      </c>
      <c r="B53" s="11">
        <v>73641436</v>
      </c>
      <c r="C53" s="11">
        <v>0</v>
      </c>
      <c r="D53" s="11">
        <v>19618100</v>
      </c>
      <c r="E53" s="11">
        <v>25248636</v>
      </c>
      <c r="F53" s="11">
        <v>17594400</v>
      </c>
      <c r="G53" s="11">
        <v>9980300</v>
      </c>
      <c r="H53" s="11">
        <v>1200000</v>
      </c>
    </row>
    <row r="54" spans="1:8" ht="12.5" customHeight="1" x14ac:dyDescent="0.45">
      <c r="A54" s="10" t="s">
        <v>80</v>
      </c>
      <c r="B54" s="11">
        <v>4840000</v>
      </c>
      <c r="C54" s="11">
        <v>0</v>
      </c>
      <c r="D54" s="11">
        <v>2095000</v>
      </c>
      <c r="E54" s="11">
        <v>1245000</v>
      </c>
      <c r="F54" s="11">
        <v>1500000</v>
      </c>
      <c r="G54" s="11">
        <v>0</v>
      </c>
      <c r="H54" s="11">
        <v>0</v>
      </c>
    </row>
    <row r="55" spans="1:8" ht="12.5" customHeight="1" x14ac:dyDescent="0.45">
      <c r="A55" s="10" t="s">
        <v>81</v>
      </c>
      <c r="B55" s="11">
        <v>1500000</v>
      </c>
      <c r="C55" s="11">
        <v>1500000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</row>
    <row r="56" spans="1:8" ht="12.5" customHeight="1" x14ac:dyDescent="0.45">
      <c r="A56" s="10" t="s">
        <v>82</v>
      </c>
      <c r="B56" s="11">
        <v>1458491</v>
      </c>
      <c r="C56" s="11">
        <v>0</v>
      </c>
      <c r="D56" s="11">
        <v>528659</v>
      </c>
      <c r="E56" s="11">
        <v>716285</v>
      </c>
      <c r="F56" s="11">
        <v>159456</v>
      </c>
      <c r="G56" s="11">
        <v>54091</v>
      </c>
      <c r="H56" s="11">
        <v>0</v>
      </c>
    </row>
    <row r="57" spans="1:8" ht="12.5" customHeight="1" x14ac:dyDescent="0.45">
      <c r="A57" s="10" t="s">
        <v>107</v>
      </c>
      <c r="B57" s="11">
        <v>36622133</v>
      </c>
      <c r="C57" s="11">
        <v>0</v>
      </c>
      <c r="D57" s="11">
        <v>2295033</v>
      </c>
      <c r="E57" s="11">
        <v>3914900</v>
      </c>
      <c r="F57" s="11">
        <v>4525200</v>
      </c>
      <c r="G57" s="11">
        <v>0</v>
      </c>
      <c r="H57" s="11">
        <v>25887000</v>
      </c>
    </row>
    <row r="58" spans="1:8" ht="12.5" customHeight="1" x14ac:dyDescent="0.45">
      <c r="A58" s="10" t="s">
        <v>113</v>
      </c>
      <c r="B58" s="11">
        <v>11402050</v>
      </c>
      <c r="C58" s="11">
        <v>313500</v>
      </c>
      <c r="D58" s="11">
        <v>1382200</v>
      </c>
      <c r="E58" s="11">
        <v>7252350</v>
      </c>
      <c r="F58" s="11">
        <v>483000</v>
      </c>
      <c r="G58" s="11">
        <v>1380300</v>
      </c>
      <c r="H58" s="11">
        <v>590700</v>
      </c>
    </row>
    <row r="59" spans="1:8" ht="12.5" customHeight="1" x14ac:dyDescent="0.45">
      <c r="A59" s="10" t="s">
        <v>115</v>
      </c>
      <c r="B59" s="11">
        <v>90000</v>
      </c>
      <c r="C59" s="11">
        <v>90000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</row>
    <row r="60" spans="1:8" ht="12.5" customHeight="1" x14ac:dyDescent="0.45">
      <c r="A60" s="10" t="s">
        <v>114</v>
      </c>
      <c r="B60" s="11">
        <v>9969050</v>
      </c>
      <c r="C60" s="11">
        <v>174500</v>
      </c>
      <c r="D60" s="11">
        <v>776200</v>
      </c>
      <c r="E60" s="11">
        <v>7082350</v>
      </c>
      <c r="F60" s="11">
        <v>145000</v>
      </c>
      <c r="G60" s="11">
        <v>1259300</v>
      </c>
      <c r="H60" s="11">
        <v>531700</v>
      </c>
    </row>
    <row r="61" spans="1:8" ht="12.5" customHeight="1" x14ac:dyDescent="0.45">
      <c r="A61" s="10" t="s">
        <v>117</v>
      </c>
      <c r="B61" s="11">
        <v>1343000</v>
      </c>
      <c r="C61" s="11">
        <v>49000</v>
      </c>
      <c r="D61" s="11">
        <v>606000</v>
      </c>
      <c r="E61" s="11">
        <v>170000</v>
      </c>
      <c r="F61" s="11">
        <v>338000</v>
      </c>
      <c r="G61" s="11">
        <v>121000</v>
      </c>
      <c r="H61" s="11">
        <v>59000</v>
      </c>
    </row>
    <row r="62" spans="1:8" ht="12.5" customHeight="1" x14ac:dyDescent="0.45">
      <c r="A62" s="10" t="s">
        <v>120</v>
      </c>
      <c r="B62" s="11">
        <v>200000</v>
      </c>
      <c r="C62" s="11">
        <v>200000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</row>
    <row r="63" spans="1:8" ht="12.5" customHeight="1" x14ac:dyDescent="0.45">
      <c r="A63" s="10" t="s">
        <v>123</v>
      </c>
      <c r="B63" s="11">
        <v>200000</v>
      </c>
      <c r="C63" s="11">
        <v>200000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</row>
    <row r="64" spans="1:8" ht="12.5" customHeight="1" x14ac:dyDescent="0.45">
      <c r="A64" s="10" t="s">
        <v>124</v>
      </c>
      <c r="B64" s="11">
        <v>2109537</v>
      </c>
      <c r="C64" s="11">
        <v>6000</v>
      </c>
      <c r="D64" s="11">
        <v>338510</v>
      </c>
      <c r="E64" s="11">
        <v>461350</v>
      </c>
      <c r="F64" s="11">
        <v>663526</v>
      </c>
      <c r="G64" s="11">
        <v>569221</v>
      </c>
      <c r="H64" s="11">
        <v>70930</v>
      </c>
    </row>
    <row r="65" spans="1:8" ht="12.5" customHeight="1" x14ac:dyDescent="0.45">
      <c r="A65" s="10" t="s">
        <v>127</v>
      </c>
      <c r="B65" s="11">
        <v>990047</v>
      </c>
      <c r="C65" s="11">
        <v>0</v>
      </c>
      <c r="D65" s="11">
        <v>0</v>
      </c>
      <c r="E65" s="11">
        <v>0</v>
      </c>
      <c r="F65" s="11">
        <v>550026</v>
      </c>
      <c r="G65" s="11">
        <v>440021</v>
      </c>
      <c r="H65" s="11">
        <v>0</v>
      </c>
    </row>
    <row r="66" spans="1:8" ht="12.5" customHeight="1" x14ac:dyDescent="0.45">
      <c r="A66" s="10" t="s">
        <v>128</v>
      </c>
      <c r="B66" s="11">
        <v>1119490</v>
      </c>
      <c r="C66" s="11">
        <v>6000</v>
      </c>
      <c r="D66" s="11">
        <v>338510</v>
      </c>
      <c r="E66" s="11">
        <v>461350</v>
      </c>
      <c r="F66" s="11">
        <v>113500</v>
      </c>
      <c r="G66" s="11">
        <v>129200</v>
      </c>
      <c r="H66" s="11">
        <v>70930</v>
      </c>
    </row>
    <row r="67" spans="1:8" ht="12.5" customHeight="1" x14ac:dyDescent="0.45">
      <c r="A67" s="10" t="s">
        <v>131</v>
      </c>
      <c r="B67" s="11">
        <v>18033466</v>
      </c>
      <c r="C67" s="11">
        <v>98020</v>
      </c>
      <c r="D67" s="11">
        <v>4427054</v>
      </c>
      <c r="E67" s="11">
        <v>12437141</v>
      </c>
      <c r="F67" s="11">
        <v>523065</v>
      </c>
      <c r="G67" s="11">
        <v>548186</v>
      </c>
      <c r="H67" s="11">
        <v>0</v>
      </c>
    </row>
    <row r="68" spans="1:8" ht="12.5" customHeight="1" x14ac:dyDescent="0.45">
      <c r="A68" s="10" t="s">
        <v>132</v>
      </c>
      <c r="B68" s="11">
        <v>18033466</v>
      </c>
      <c r="C68" s="11">
        <v>98020</v>
      </c>
      <c r="D68" s="11">
        <v>4427054</v>
      </c>
      <c r="E68" s="11">
        <v>12437141</v>
      </c>
      <c r="F68" s="11">
        <v>523065</v>
      </c>
      <c r="G68" s="11">
        <v>548186</v>
      </c>
      <c r="H68" s="11">
        <v>0</v>
      </c>
    </row>
    <row r="69" spans="1:8" ht="12.5" customHeight="1" x14ac:dyDescent="0.45">
      <c r="A69" s="10" t="s">
        <v>139</v>
      </c>
      <c r="B69" s="11">
        <v>2100469</v>
      </c>
      <c r="C69" s="11">
        <v>0</v>
      </c>
      <c r="D69" s="11">
        <v>172666</v>
      </c>
      <c r="E69" s="11">
        <v>564595</v>
      </c>
      <c r="F69" s="11">
        <v>786832</v>
      </c>
      <c r="G69" s="11">
        <v>576376</v>
      </c>
      <c r="H69" s="11">
        <v>0</v>
      </c>
    </row>
    <row r="70" spans="1:8" ht="12.5" customHeight="1" x14ac:dyDescent="0.45">
      <c r="A70" s="10" t="s">
        <v>140</v>
      </c>
      <c r="B70" s="11">
        <v>131162380</v>
      </c>
      <c r="C70" s="11">
        <v>3561980</v>
      </c>
      <c r="D70" s="11">
        <v>43697130</v>
      </c>
      <c r="E70" s="11">
        <v>29948073</v>
      </c>
      <c r="F70" s="11">
        <v>26596873</v>
      </c>
      <c r="G70" s="11">
        <v>22996024</v>
      </c>
      <c r="H70" s="11">
        <v>4362300</v>
      </c>
    </row>
    <row r="71" spans="1:8" ht="12.5" customHeight="1" x14ac:dyDescent="0.45">
      <c r="A71" s="10" t="s">
        <v>141</v>
      </c>
      <c r="B71" s="11">
        <v>37772000</v>
      </c>
      <c r="C71" s="11">
        <v>2560000</v>
      </c>
      <c r="D71" s="11">
        <v>2695000</v>
      </c>
      <c r="E71" s="11">
        <v>2695000</v>
      </c>
      <c r="F71" s="11">
        <v>13083000</v>
      </c>
      <c r="G71" s="11">
        <v>12966000</v>
      </c>
      <c r="H71" s="11">
        <v>3773000</v>
      </c>
    </row>
    <row r="72" spans="1:8" ht="12.5" customHeight="1" x14ac:dyDescent="0.45">
      <c r="A72" s="10" t="s">
        <v>143</v>
      </c>
      <c r="B72" s="11">
        <v>61257988</v>
      </c>
      <c r="C72" s="11">
        <v>850000</v>
      </c>
      <c r="D72" s="11">
        <v>24009000</v>
      </c>
      <c r="E72" s="11">
        <v>13619164</v>
      </c>
      <c r="F72" s="11">
        <v>12160500</v>
      </c>
      <c r="G72" s="11">
        <v>10030024</v>
      </c>
      <c r="H72" s="11">
        <v>589300</v>
      </c>
    </row>
    <row r="73" spans="1:8" ht="12.5" customHeight="1" x14ac:dyDescent="0.45">
      <c r="A73" s="10" t="s">
        <v>144</v>
      </c>
      <c r="B73" s="11">
        <v>32132392</v>
      </c>
      <c r="C73" s="11">
        <v>151980</v>
      </c>
      <c r="D73" s="11">
        <v>16993130</v>
      </c>
      <c r="E73" s="11">
        <v>13633909</v>
      </c>
      <c r="F73" s="11">
        <v>1353373</v>
      </c>
      <c r="G73" s="11">
        <v>0</v>
      </c>
      <c r="H73" s="11">
        <v>0</v>
      </c>
    </row>
    <row r="74" spans="1:8" ht="12.5" customHeight="1" x14ac:dyDescent="0.45">
      <c r="A74" s="10" t="s">
        <v>149</v>
      </c>
      <c r="B74" s="11">
        <v>284951</v>
      </c>
      <c r="C74" s="11">
        <v>0</v>
      </c>
      <c r="D74" s="11">
        <v>0</v>
      </c>
      <c r="E74" s="11">
        <v>233520</v>
      </c>
      <c r="F74" s="11">
        <v>0</v>
      </c>
      <c r="G74" s="11">
        <v>51431</v>
      </c>
      <c r="H74" s="11">
        <v>0</v>
      </c>
    </row>
    <row r="75" spans="1:8" ht="12.5" customHeight="1" x14ac:dyDescent="0.45">
      <c r="A75" s="10" t="s">
        <v>151</v>
      </c>
      <c r="B75" s="11">
        <v>284951</v>
      </c>
      <c r="C75" s="11">
        <v>0</v>
      </c>
      <c r="D75" s="11">
        <v>0</v>
      </c>
      <c r="E75" s="11">
        <v>233520</v>
      </c>
      <c r="F75" s="11">
        <v>0</v>
      </c>
      <c r="G75" s="11">
        <v>51431</v>
      </c>
      <c r="H75" s="11">
        <v>0</v>
      </c>
    </row>
    <row r="76" spans="1:8" ht="12.5" customHeight="1" x14ac:dyDescent="0.45">
      <c r="A76" s="10" t="s">
        <v>154</v>
      </c>
      <c r="B76" s="11">
        <v>24431802</v>
      </c>
      <c r="C76" s="11">
        <v>858900</v>
      </c>
      <c r="D76" s="11">
        <v>2852789</v>
      </c>
      <c r="E76" s="11">
        <v>2502859</v>
      </c>
      <c r="F76" s="11">
        <v>7737747</v>
      </c>
      <c r="G76" s="11">
        <v>7134713</v>
      </c>
      <c r="H76" s="11">
        <v>3344794</v>
      </c>
    </row>
    <row r="77" spans="1:8" ht="12.5" customHeight="1" x14ac:dyDescent="0.45">
      <c r="A77" s="10" t="s">
        <v>155</v>
      </c>
      <c r="B77" s="11">
        <v>5851158</v>
      </c>
      <c r="C77" s="11">
        <v>267100</v>
      </c>
      <c r="D77" s="11">
        <v>975350</v>
      </c>
      <c r="E77" s="11">
        <v>632300</v>
      </c>
      <c r="F77" s="11">
        <v>1210800</v>
      </c>
      <c r="G77" s="11">
        <v>2500018</v>
      </c>
      <c r="H77" s="11">
        <v>265590</v>
      </c>
    </row>
    <row r="78" spans="1:8" ht="12.5" customHeight="1" x14ac:dyDescent="0.45">
      <c r="A78" s="10" t="s">
        <v>156</v>
      </c>
      <c r="B78" s="11">
        <v>591800</v>
      </c>
      <c r="C78" s="11">
        <v>591800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</row>
    <row r="79" spans="1:8" ht="12.5" customHeight="1" x14ac:dyDescent="0.45">
      <c r="A79" s="10" t="s">
        <v>157</v>
      </c>
      <c r="B79" s="11">
        <v>2958116</v>
      </c>
      <c r="C79" s="11">
        <v>0</v>
      </c>
      <c r="D79" s="11">
        <v>447275</v>
      </c>
      <c r="E79" s="11">
        <v>230000</v>
      </c>
      <c r="F79" s="11">
        <v>280000</v>
      </c>
      <c r="G79" s="11">
        <v>410000</v>
      </c>
      <c r="H79" s="11">
        <v>1590841</v>
      </c>
    </row>
    <row r="80" spans="1:8" ht="12.5" customHeight="1" x14ac:dyDescent="0.45">
      <c r="A80" s="10" t="s">
        <v>158</v>
      </c>
      <c r="B80" s="11">
        <v>15030728</v>
      </c>
      <c r="C80" s="11">
        <v>0</v>
      </c>
      <c r="D80" s="11">
        <v>1430164</v>
      </c>
      <c r="E80" s="11">
        <v>1640559</v>
      </c>
      <c r="F80" s="11">
        <v>6246947</v>
      </c>
      <c r="G80" s="11">
        <v>4224695</v>
      </c>
      <c r="H80" s="11">
        <v>1488363</v>
      </c>
    </row>
    <row r="81" spans="1:8" ht="12.5" customHeight="1" x14ac:dyDescent="0.45">
      <c r="A81" s="10" t="s">
        <v>162</v>
      </c>
      <c r="B81" s="11">
        <v>34773000</v>
      </c>
      <c r="C81" s="11">
        <v>0</v>
      </c>
      <c r="D81" s="11">
        <v>10240000</v>
      </c>
      <c r="E81" s="11">
        <v>5770000</v>
      </c>
      <c r="F81" s="11">
        <v>12881000</v>
      </c>
      <c r="G81" s="11">
        <v>5829500</v>
      </c>
      <c r="H81" s="11">
        <v>52500</v>
      </c>
    </row>
    <row r="82" spans="1:8" ht="12.5" customHeight="1" x14ac:dyDescent="0.45">
      <c r="A82" s="10" t="s">
        <v>164</v>
      </c>
      <c r="B82" s="11">
        <v>34773000</v>
      </c>
      <c r="C82" s="11">
        <v>0</v>
      </c>
      <c r="D82" s="11">
        <v>10240000</v>
      </c>
      <c r="E82" s="11">
        <v>5770000</v>
      </c>
      <c r="F82" s="11">
        <v>12881000</v>
      </c>
      <c r="G82" s="11">
        <v>5829500</v>
      </c>
      <c r="H82" s="11">
        <v>52500</v>
      </c>
    </row>
    <row r="83" spans="1:8" ht="12.5" customHeight="1" x14ac:dyDescent="0.45">
      <c r="A83" s="10" t="s">
        <v>169</v>
      </c>
      <c r="B83" s="11">
        <v>686954</v>
      </c>
      <c r="C83" s="11">
        <v>0</v>
      </c>
      <c r="D83" s="11">
        <v>0</v>
      </c>
      <c r="E83" s="11">
        <v>459272</v>
      </c>
      <c r="F83" s="11">
        <v>227682</v>
      </c>
      <c r="G83" s="11">
        <v>0</v>
      </c>
      <c r="H83" s="11">
        <v>0</v>
      </c>
    </row>
    <row r="84" spans="1:8" ht="12.5" customHeight="1" x14ac:dyDescent="0.45">
      <c r="A84" s="10" t="s">
        <v>170</v>
      </c>
      <c r="B84" s="11">
        <v>98364</v>
      </c>
      <c r="C84" s="11">
        <v>0</v>
      </c>
      <c r="D84" s="11">
        <v>0</v>
      </c>
      <c r="E84" s="11">
        <v>0</v>
      </c>
      <c r="F84" s="11">
        <v>98364</v>
      </c>
      <c r="G84" s="11">
        <v>0</v>
      </c>
      <c r="H84" s="11">
        <v>0</v>
      </c>
    </row>
    <row r="85" spans="1:8" ht="12.5" customHeight="1" x14ac:dyDescent="0.45">
      <c r="A85" s="10" t="s">
        <v>172</v>
      </c>
      <c r="B85" s="11">
        <v>588590</v>
      </c>
      <c r="C85" s="11">
        <v>0</v>
      </c>
      <c r="D85" s="11">
        <v>0</v>
      </c>
      <c r="E85" s="11">
        <v>459272</v>
      </c>
      <c r="F85" s="11">
        <v>129318</v>
      </c>
      <c r="G85" s="11">
        <v>0</v>
      </c>
      <c r="H85" s="11">
        <v>0</v>
      </c>
    </row>
    <row r="86" spans="1:8" ht="12.5" customHeight="1" x14ac:dyDescent="0.45">
      <c r="A86" s="10" t="s">
        <v>179</v>
      </c>
      <c r="B86" s="11">
        <v>67627882</v>
      </c>
      <c r="C86" s="11">
        <v>4613766</v>
      </c>
      <c r="D86" s="11">
        <v>21881218</v>
      </c>
      <c r="E86" s="11">
        <v>22458505</v>
      </c>
      <c r="F86" s="11">
        <v>8903942</v>
      </c>
      <c r="G86" s="11">
        <v>5669591</v>
      </c>
      <c r="H86" s="11">
        <v>4100860</v>
      </c>
    </row>
    <row r="87" spans="1:8" ht="12.5" customHeight="1" x14ac:dyDescent="0.45">
      <c r="A87" s="10" t="s">
        <v>180</v>
      </c>
      <c r="B87" s="11">
        <v>15917547</v>
      </c>
      <c r="C87" s="11">
        <v>0</v>
      </c>
      <c r="D87" s="11">
        <v>6055829</v>
      </c>
      <c r="E87" s="11">
        <v>5945641</v>
      </c>
      <c r="F87" s="11">
        <v>1621242</v>
      </c>
      <c r="G87" s="11">
        <v>1525329</v>
      </c>
      <c r="H87" s="11">
        <v>769506</v>
      </c>
    </row>
    <row r="88" spans="1:8" ht="12.5" customHeight="1" x14ac:dyDescent="0.45">
      <c r="A88" s="10" t="s">
        <v>182</v>
      </c>
      <c r="B88" s="11">
        <v>2735610</v>
      </c>
      <c r="C88" s="11">
        <v>1295281</v>
      </c>
      <c r="D88" s="11">
        <v>193637</v>
      </c>
      <c r="E88" s="11">
        <v>411864</v>
      </c>
      <c r="F88" s="11">
        <v>295463</v>
      </c>
      <c r="G88" s="11">
        <v>319819</v>
      </c>
      <c r="H88" s="11">
        <v>219546</v>
      </c>
    </row>
    <row r="89" spans="1:8" ht="12.5" customHeight="1" x14ac:dyDescent="0.45">
      <c r="A89" s="10" t="s">
        <v>183</v>
      </c>
      <c r="B89" s="11">
        <v>1336109</v>
      </c>
      <c r="C89" s="11">
        <v>0</v>
      </c>
      <c r="D89" s="11">
        <v>443645</v>
      </c>
      <c r="E89" s="11">
        <v>594089</v>
      </c>
      <c r="F89" s="11">
        <v>148730</v>
      </c>
      <c r="G89" s="11">
        <v>149645</v>
      </c>
      <c r="H89" s="11">
        <v>0</v>
      </c>
    </row>
    <row r="90" spans="1:8" ht="12.5" customHeight="1" x14ac:dyDescent="0.45">
      <c r="A90" s="10" t="s">
        <v>185</v>
      </c>
      <c r="B90" s="11">
        <v>2194170</v>
      </c>
      <c r="C90" s="11">
        <v>0</v>
      </c>
      <c r="D90" s="11">
        <v>299364</v>
      </c>
      <c r="E90" s="11">
        <v>1894806</v>
      </c>
      <c r="F90" s="11">
        <v>0</v>
      </c>
      <c r="G90" s="11">
        <v>0</v>
      </c>
      <c r="H90" s="11">
        <v>0</v>
      </c>
    </row>
    <row r="91" spans="1:8" ht="12.5" customHeight="1" x14ac:dyDescent="0.45">
      <c r="A91" s="10" t="s">
        <v>186</v>
      </c>
      <c r="B91" s="11">
        <v>12221582</v>
      </c>
      <c r="C91" s="11">
        <v>199001</v>
      </c>
      <c r="D91" s="11">
        <v>977365</v>
      </c>
      <c r="E91" s="11">
        <v>898008</v>
      </c>
      <c r="F91" s="11">
        <v>6572411</v>
      </c>
      <c r="G91" s="11">
        <v>3574797</v>
      </c>
      <c r="H91" s="11">
        <v>0</v>
      </c>
    </row>
    <row r="92" spans="1:8" ht="12.5" customHeight="1" x14ac:dyDescent="0.45">
      <c r="A92" s="10" t="s">
        <v>187</v>
      </c>
      <c r="B92" s="11">
        <v>32839405</v>
      </c>
      <c r="C92" s="11">
        <v>3119484</v>
      </c>
      <c r="D92" s="11">
        <v>13911378</v>
      </c>
      <c r="E92" s="11">
        <v>12516821</v>
      </c>
      <c r="F92" s="11">
        <v>179914</v>
      </c>
      <c r="G92" s="11">
        <v>0</v>
      </c>
      <c r="H92" s="11">
        <v>3111808</v>
      </c>
    </row>
    <row r="93" spans="1:8" ht="12.5" customHeight="1" x14ac:dyDescent="0.45">
      <c r="A93" s="10" t="s">
        <v>189</v>
      </c>
      <c r="B93" s="11">
        <v>383459</v>
      </c>
      <c r="C93" s="11">
        <v>0</v>
      </c>
      <c r="D93" s="11">
        <v>0</v>
      </c>
      <c r="E93" s="11">
        <v>197276</v>
      </c>
      <c r="F93" s="11">
        <v>86182</v>
      </c>
      <c r="G93" s="11">
        <v>100001</v>
      </c>
      <c r="H93" s="11">
        <v>0</v>
      </c>
    </row>
    <row r="94" spans="1:8" ht="12.5" customHeight="1" x14ac:dyDescent="0.45">
      <c r="A94" s="10" t="s">
        <v>191</v>
      </c>
      <c r="B94" s="11">
        <v>18841281</v>
      </c>
      <c r="C94" s="11">
        <v>81054</v>
      </c>
      <c r="D94" s="11">
        <v>6283922</v>
      </c>
      <c r="E94" s="11">
        <v>10380970</v>
      </c>
      <c r="F94" s="11">
        <v>907704</v>
      </c>
      <c r="G94" s="11">
        <v>837231</v>
      </c>
      <c r="H94" s="11">
        <v>350400</v>
      </c>
    </row>
    <row r="95" spans="1:8" ht="12.5" customHeight="1" x14ac:dyDescent="0.45">
      <c r="A95" s="10" t="s">
        <v>192</v>
      </c>
      <c r="B95" s="11">
        <v>8813278</v>
      </c>
      <c r="C95" s="11">
        <v>34600</v>
      </c>
      <c r="D95" s="11">
        <v>3083820</v>
      </c>
      <c r="E95" s="11">
        <v>3940703</v>
      </c>
      <c r="F95" s="11">
        <v>798904</v>
      </c>
      <c r="G95" s="11">
        <v>604851</v>
      </c>
      <c r="H95" s="11">
        <v>350400</v>
      </c>
    </row>
    <row r="96" spans="1:8" ht="12.5" customHeight="1" x14ac:dyDescent="0.45">
      <c r="A96" s="10" t="s">
        <v>193</v>
      </c>
      <c r="B96" s="11">
        <v>6618476</v>
      </c>
      <c r="C96" s="11">
        <v>0</v>
      </c>
      <c r="D96" s="11">
        <v>1867727</v>
      </c>
      <c r="E96" s="11">
        <v>4750749</v>
      </c>
      <c r="F96" s="11">
        <v>0</v>
      </c>
      <c r="G96" s="11">
        <v>0</v>
      </c>
      <c r="H96" s="11">
        <v>0</v>
      </c>
    </row>
    <row r="97" spans="1:8" ht="12.5" customHeight="1" x14ac:dyDescent="0.45">
      <c r="A97" s="10" t="s">
        <v>194</v>
      </c>
      <c r="B97" s="11">
        <v>3409527</v>
      </c>
      <c r="C97" s="11">
        <v>46454</v>
      </c>
      <c r="D97" s="11">
        <v>1332375</v>
      </c>
      <c r="E97" s="11">
        <v>1689518</v>
      </c>
      <c r="F97" s="11">
        <v>108800</v>
      </c>
      <c r="G97" s="11">
        <v>232380</v>
      </c>
      <c r="H97" s="11">
        <v>0</v>
      </c>
    </row>
    <row r="98" spans="1:8" ht="12.5" customHeight="1" x14ac:dyDescent="0.45">
      <c r="A98" s="10" t="s">
        <v>197</v>
      </c>
      <c r="B98" s="11">
        <v>30796671</v>
      </c>
      <c r="C98" s="11">
        <v>8075742</v>
      </c>
      <c r="D98" s="11">
        <v>4429876</v>
      </c>
      <c r="E98" s="11">
        <v>7411253</v>
      </c>
      <c r="F98" s="11">
        <v>614000</v>
      </c>
      <c r="G98" s="11">
        <v>547800</v>
      </c>
      <c r="H98" s="11">
        <v>9718000</v>
      </c>
    </row>
    <row r="99" spans="1:8" ht="12.5" customHeight="1" x14ac:dyDescent="0.45">
      <c r="A99" s="10" t="s">
        <v>199</v>
      </c>
      <c r="B99" s="11">
        <v>125972</v>
      </c>
      <c r="C99" s="11">
        <v>52163</v>
      </c>
      <c r="D99" s="11">
        <v>0</v>
      </c>
      <c r="E99" s="11">
        <v>73809</v>
      </c>
      <c r="F99" s="11">
        <v>0</v>
      </c>
      <c r="G99" s="11">
        <v>0</v>
      </c>
      <c r="H99" s="11">
        <v>0</v>
      </c>
    </row>
    <row r="100" spans="1:8" ht="12.5" customHeight="1" x14ac:dyDescent="0.45">
      <c r="A100" s="10" t="s">
        <v>202</v>
      </c>
      <c r="B100" s="11">
        <v>5138807</v>
      </c>
      <c r="C100" s="11">
        <v>85000</v>
      </c>
      <c r="D100" s="11">
        <v>1725001</v>
      </c>
      <c r="E100" s="11">
        <v>2390806</v>
      </c>
      <c r="F100" s="11">
        <v>416000</v>
      </c>
      <c r="G100" s="11">
        <v>394000</v>
      </c>
      <c r="H100" s="11">
        <v>128000</v>
      </c>
    </row>
    <row r="101" spans="1:8" ht="12.5" customHeight="1" x14ac:dyDescent="0.45">
      <c r="A101" s="10" t="s">
        <v>204</v>
      </c>
      <c r="B101" s="11">
        <v>11685000</v>
      </c>
      <c r="C101" s="11">
        <v>0</v>
      </c>
      <c r="D101" s="11">
        <v>0</v>
      </c>
      <c r="E101" s="11">
        <v>2095000</v>
      </c>
      <c r="F101" s="11">
        <v>0</v>
      </c>
      <c r="G101" s="11">
        <v>0</v>
      </c>
      <c r="H101" s="11">
        <v>9590000</v>
      </c>
    </row>
    <row r="102" spans="1:8" ht="12.5" customHeight="1" x14ac:dyDescent="0.45">
      <c r="A102" s="10" t="s">
        <v>205</v>
      </c>
      <c r="B102" s="11">
        <v>9323292</v>
      </c>
      <c r="C102" s="11">
        <v>3414979</v>
      </c>
      <c r="D102" s="11">
        <v>2704875</v>
      </c>
      <c r="E102" s="11">
        <v>2851638</v>
      </c>
      <c r="F102" s="11">
        <v>198000</v>
      </c>
      <c r="G102" s="11">
        <v>153800</v>
      </c>
      <c r="H102" s="11">
        <v>0</v>
      </c>
    </row>
    <row r="103" spans="1:8" ht="12.5" customHeight="1" x14ac:dyDescent="0.45">
      <c r="A103" s="10" t="s">
        <v>207</v>
      </c>
      <c r="B103" s="11">
        <v>4523600</v>
      </c>
      <c r="C103" s="11">
        <v>4523600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</row>
    <row r="104" spans="1:8" ht="12.5" customHeight="1" x14ac:dyDescent="0.45">
      <c r="A104" s="10" t="s">
        <v>215</v>
      </c>
      <c r="B104" s="11">
        <v>299397930</v>
      </c>
      <c r="C104" s="11">
        <v>0</v>
      </c>
      <c r="D104" s="11">
        <v>75575890</v>
      </c>
      <c r="E104" s="11">
        <v>87287887</v>
      </c>
      <c r="F104" s="11">
        <v>0</v>
      </c>
      <c r="G104" s="11">
        <v>0</v>
      </c>
      <c r="H104" s="11">
        <v>136534153</v>
      </c>
    </row>
    <row r="105" spans="1:8" ht="12.5" customHeight="1" x14ac:dyDescent="0.45">
      <c r="A105" s="10" t="s">
        <v>216</v>
      </c>
      <c r="B105" s="11">
        <v>64075810</v>
      </c>
      <c r="C105" s="11">
        <v>0</v>
      </c>
      <c r="D105" s="11">
        <v>35047560</v>
      </c>
      <c r="E105" s="11">
        <v>28828250</v>
      </c>
      <c r="F105" s="11">
        <v>0</v>
      </c>
      <c r="G105" s="11">
        <v>0</v>
      </c>
      <c r="H105" s="11">
        <v>200000</v>
      </c>
    </row>
    <row r="106" spans="1:8" ht="12.5" customHeight="1" x14ac:dyDescent="0.45">
      <c r="A106" s="10" t="s">
        <v>219</v>
      </c>
      <c r="B106" s="11">
        <v>7363039</v>
      </c>
      <c r="C106" s="11">
        <v>0</v>
      </c>
      <c r="D106" s="11">
        <v>2830000</v>
      </c>
      <c r="E106" s="11">
        <v>4295439</v>
      </c>
      <c r="F106" s="11">
        <v>0</v>
      </c>
      <c r="G106" s="11">
        <v>0</v>
      </c>
      <c r="H106" s="11">
        <v>237600</v>
      </c>
    </row>
    <row r="107" spans="1:8" ht="12.5" customHeight="1" x14ac:dyDescent="0.45">
      <c r="A107" s="10" t="s">
        <v>220</v>
      </c>
      <c r="B107" s="11">
        <v>104269800</v>
      </c>
      <c r="C107" s="11">
        <v>0</v>
      </c>
      <c r="D107" s="11">
        <v>19357800</v>
      </c>
      <c r="E107" s="11">
        <v>35124300</v>
      </c>
      <c r="F107" s="11">
        <v>0</v>
      </c>
      <c r="G107" s="11">
        <v>0</v>
      </c>
      <c r="H107" s="11">
        <v>49787700</v>
      </c>
    </row>
    <row r="108" spans="1:8" ht="12.5" customHeight="1" x14ac:dyDescent="0.45">
      <c r="A108" s="10" t="s">
        <v>222</v>
      </c>
      <c r="B108" s="11">
        <v>123689281</v>
      </c>
      <c r="C108" s="11">
        <v>0</v>
      </c>
      <c r="D108" s="11">
        <v>18340530</v>
      </c>
      <c r="E108" s="11">
        <v>19039898</v>
      </c>
      <c r="F108" s="11">
        <v>0</v>
      </c>
      <c r="G108" s="11">
        <v>0</v>
      </c>
      <c r="H108" s="11">
        <v>86308853</v>
      </c>
    </row>
    <row r="109" spans="1:8" ht="12.5" customHeight="1" x14ac:dyDescent="0.45">
      <c r="A109" s="10" t="s">
        <v>227</v>
      </c>
      <c r="B109" s="11">
        <v>28240631</v>
      </c>
      <c r="C109" s="11">
        <v>0</v>
      </c>
      <c r="D109" s="11">
        <v>0</v>
      </c>
      <c r="E109" s="11">
        <v>0</v>
      </c>
      <c r="F109" s="11">
        <v>-1053405</v>
      </c>
      <c r="G109" s="11">
        <v>0</v>
      </c>
      <c r="H109" s="11">
        <v>29294036</v>
      </c>
    </row>
    <row r="110" spans="1:8" ht="12.5" customHeight="1" x14ac:dyDescent="0.45">
      <c r="A110" s="10" t="s">
        <v>232</v>
      </c>
      <c r="B110" s="11">
        <v>-893405</v>
      </c>
      <c r="C110" s="11">
        <v>0</v>
      </c>
      <c r="D110" s="11">
        <v>0</v>
      </c>
      <c r="E110" s="11">
        <v>0</v>
      </c>
      <c r="F110" s="11">
        <v>-893405</v>
      </c>
      <c r="G110" s="11">
        <v>0</v>
      </c>
      <c r="H110" s="11">
        <v>0</v>
      </c>
    </row>
    <row r="111" spans="1:8" ht="12.5" customHeight="1" x14ac:dyDescent="0.45">
      <c r="A111" s="10" t="s">
        <v>235</v>
      </c>
      <c r="B111" s="11">
        <v>29134036</v>
      </c>
      <c r="C111" s="11">
        <v>0</v>
      </c>
      <c r="D111" s="11">
        <v>0</v>
      </c>
      <c r="E111" s="11">
        <v>0</v>
      </c>
      <c r="F111" s="11">
        <v>-160000</v>
      </c>
      <c r="G111" s="11">
        <v>0</v>
      </c>
      <c r="H111" s="11">
        <v>29294036</v>
      </c>
    </row>
    <row r="112" spans="1:8" ht="12.5" customHeight="1" x14ac:dyDescent="0.45">
      <c r="A112" s="10" t="s">
        <v>253</v>
      </c>
      <c r="B112" s="11">
        <v>755501863</v>
      </c>
      <c r="C112" s="11">
        <v>-93301774</v>
      </c>
      <c r="D112" s="11">
        <v>308177952</v>
      </c>
      <c r="E112" s="11">
        <v>277379263</v>
      </c>
      <c r="F112" s="11">
        <v>178830956</v>
      </c>
      <c r="G112" s="11">
        <v>45493491</v>
      </c>
      <c r="H112" s="11">
        <v>38921975</v>
      </c>
    </row>
    <row r="113" spans="1:8" ht="12.5" customHeight="1" x14ac:dyDescent="0.45">
      <c r="A113" s="10" t="s">
        <v>254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</row>
    <row r="114" spans="1:8" ht="12.5" customHeight="1" x14ac:dyDescent="0.45">
      <c r="A114" s="10" t="s">
        <v>255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</row>
    <row r="115" spans="1:8" ht="12.5" customHeight="1" x14ac:dyDescent="0.45">
      <c r="A115" s="10" t="s">
        <v>256</v>
      </c>
      <c r="B115" s="11">
        <v>755501863</v>
      </c>
      <c r="C115" s="11">
        <v>-93301774</v>
      </c>
      <c r="D115" s="11">
        <v>308177952</v>
      </c>
      <c r="E115" s="11">
        <v>277379263</v>
      </c>
      <c r="F115" s="11">
        <v>178830956</v>
      </c>
      <c r="G115" s="11">
        <v>45493491</v>
      </c>
      <c r="H115" s="11">
        <v>38921975</v>
      </c>
    </row>
    <row r="116" spans="1:8" ht="12.5" customHeight="1" x14ac:dyDescent="0.45">
      <c r="A116" s="10" t="s">
        <v>257</v>
      </c>
      <c r="B116" s="11">
        <v>755501863</v>
      </c>
      <c r="C116" s="11">
        <v>-93301774</v>
      </c>
      <c r="D116" s="11">
        <v>308177952</v>
      </c>
      <c r="E116" s="11">
        <v>277379263</v>
      </c>
      <c r="F116" s="11">
        <v>178830956</v>
      </c>
      <c r="G116" s="11">
        <v>45493491</v>
      </c>
      <c r="H116" s="11">
        <v>38921975</v>
      </c>
    </row>
    <row r="117" spans="1:8" ht="12.5" customHeight="1" x14ac:dyDescent="0.45">
      <c r="A117" s="10" t="s">
        <v>258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</row>
    <row r="118" spans="1:8" ht="12.5" customHeight="1" x14ac:dyDescent="0.45">
      <c r="A118" s="10" t="s">
        <v>259</v>
      </c>
      <c r="B118" s="11">
        <v>755501863</v>
      </c>
      <c r="C118" s="11">
        <v>-93301774</v>
      </c>
      <c r="D118" s="11">
        <v>308177952</v>
      </c>
      <c r="E118" s="11">
        <v>277379263</v>
      </c>
      <c r="F118" s="11">
        <v>178830956</v>
      </c>
      <c r="G118" s="11">
        <v>45493491</v>
      </c>
      <c r="H118" s="11">
        <v>38921975</v>
      </c>
    </row>
    <row r="119" spans="1:8" ht="12.5" customHeight="1" x14ac:dyDescent="0.45">
      <c r="A119" s="10" t="s">
        <v>260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</row>
    <row r="120" spans="1:8" ht="12.5" customHeight="1" x14ac:dyDescent="0.45">
      <c r="A120" s="10" t="s">
        <v>261</v>
      </c>
      <c r="B120" s="11">
        <v>755501863</v>
      </c>
      <c r="C120" s="11">
        <v>-93301774</v>
      </c>
      <c r="D120" s="11">
        <v>308177952</v>
      </c>
      <c r="E120" s="11">
        <v>277379263</v>
      </c>
      <c r="F120" s="11">
        <v>178830956</v>
      </c>
      <c r="G120" s="11">
        <v>45493491</v>
      </c>
      <c r="H120" s="11">
        <v>38921975</v>
      </c>
    </row>
    <row r="121" spans="1:8" ht="12.5" customHeight="1" x14ac:dyDescent="0.45">
      <c r="A121" s="10" t="s">
        <v>262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</row>
    <row r="122" spans="1:8" ht="12.5" customHeight="1" x14ac:dyDescent="0.45">
      <c r="A122" s="10" t="s">
        <v>263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</row>
    <row r="123" spans="1:8" ht="12.5" customHeight="1" x14ac:dyDescent="0.45">
      <c r="A123" s="10" t="s">
        <v>264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</row>
    <row r="124" spans="1:8" ht="12.5" customHeight="1" x14ac:dyDescent="0.45">
      <c r="A124" s="10" t="s">
        <v>265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</row>
    <row r="125" spans="1:8" ht="12.5" customHeight="1" x14ac:dyDescent="0.45">
      <c r="A125" s="10" t="s">
        <v>266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31AA-6401-40E9-A803-AEF566C4A2B3}">
  <dimension ref="A1:F239"/>
  <sheetViews>
    <sheetView zoomScale="80" zoomScaleNormal="80" workbookViewId="0">
      <selection sqref="A1:A2"/>
    </sheetView>
  </sheetViews>
  <sheetFormatPr defaultRowHeight="17" outlineLevelRow="1" x14ac:dyDescent="0.45"/>
  <cols>
    <col min="1" max="1" width="23.6640625" customWidth="1"/>
    <col min="2" max="6" width="12.75" customWidth="1"/>
  </cols>
  <sheetData>
    <row r="1" spans="1:6" x14ac:dyDescent="0.45">
      <c r="A1" s="57" t="s">
        <v>0</v>
      </c>
      <c r="B1" s="57" t="s">
        <v>311</v>
      </c>
      <c r="C1" s="57" t="s">
        <v>312</v>
      </c>
      <c r="D1" s="57" t="s">
        <v>313</v>
      </c>
      <c r="E1" s="57" t="s">
        <v>314</v>
      </c>
      <c r="F1" s="57" t="s">
        <v>315</v>
      </c>
    </row>
    <row r="2" spans="1:6" x14ac:dyDescent="0.45">
      <c r="A2" s="57"/>
      <c r="B2" s="57"/>
      <c r="C2" s="57"/>
      <c r="D2" s="57"/>
      <c r="E2" s="57"/>
      <c r="F2" s="57"/>
    </row>
    <row r="3" spans="1:6" x14ac:dyDescent="0.45">
      <c r="A3" s="1" t="s">
        <v>1</v>
      </c>
      <c r="B3" s="13">
        <f>IFERROR(VLOOKUP(sum_!A3,강북본부_전년!$A:$B,2,0),0)</f>
        <v>3519954340</v>
      </c>
      <c r="C3" s="13">
        <f>IFERROR(VLOOKUP(A3,강남본부_전년!$A:$B,2,0),0)</f>
        <v>3389611272</v>
      </c>
      <c r="D3" s="13">
        <f>IFERROR(VLOOKUP(A3,강서본부_전년!$A:$B,2,0),0)</f>
        <v>4590253501</v>
      </c>
      <c r="E3" s="13">
        <f>IFERROR(VLOOKUP(A3,동부본부_전년!$A:$B,2,0),0)</f>
        <v>4968158170</v>
      </c>
      <c r="F3" s="13">
        <f>IFERROR(VLOOKUP(A3,서부본부_전년!$A:$B,2,0),0)</f>
        <v>4270349969</v>
      </c>
    </row>
    <row r="4" spans="1:6" x14ac:dyDescent="0.45">
      <c r="A4" s="2" t="s">
        <v>2</v>
      </c>
      <c r="B4" s="14">
        <f>IFERROR(VLOOKUP(sum_!A4,강북본부_전년!$A:$B,2,0),0)</f>
        <v>1565343368</v>
      </c>
      <c r="C4" s="14">
        <f>IFERROR(VLOOKUP(A4,강남본부_전년!$A:$B,2,0),0)</f>
        <v>1480476988</v>
      </c>
      <c r="D4" s="14">
        <f>IFERROR(VLOOKUP(A4,강서본부_전년!$A:$B,2,0),0)</f>
        <v>2109749538</v>
      </c>
      <c r="E4" s="14">
        <f>IFERROR(VLOOKUP(A4,동부본부_전년!$A:$B,2,0),0)</f>
        <v>1950787066</v>
      </c>
      <c r="F4" s="14">
        <f>IFERROR(VLOOKUP(A4,서부본부_전년!$A:$B,2,0),0)</f>
        <v>1566276870</v>
      </c>
    </row>
    <row r="5" spans="1:6" hidden="1" outlineLevel="1" x14ac:dyDescent="0.45">
      <c r="A5" s="3" t="s">
        <v>3</v>
      </c>
      <c r="B5" s="15">
        <f>IFERROR(VLOOKUP(sum_!A5,강북본부_전년!$A:$B,2,0),0)</f>
        <v>4788727</v>
      </c>
      <c r="C5" s="15">
        <f>IFERROR(VLOOKUP(A5,강남본부_전년!$A:$B,2,0),0)</f>
        <v>3603591</v>
      </c>
      <c r="D5" s="15">
        <f>IFERROR(VLOOKUP(A5,강서본부_전년!$A:$B,2,0),0)</f>
        <v>2708926</v>
      </c>
      <c r="E5" s="15">
        <f>IFERROR(VLOOKUP(A5,동부본부_전년!$A:$B,2,0),0)</f>
        <v>15231728</v>
      </c>
      <c r="F5" s="15">
        <f>IFERROR(VLOOKUP(A5,서부본부_전년!$A:$B,2,0),0)</f>
        <v>7095182</v>
      </c>
    </row>
    <row r="6" spans="1:6" hidden="1" outlineLevel="1" x14ac:dyDescent="0.45">
      <c r="A6" s="3" t="s">
        <v>4</v>
      </c>
      <c r="B6" s="15">
        <f>IFERROR(VLOOKUP(sum_!A6,강북본부_전년!$A:$B,2,0),0)</f>
        <v>0</v>
      </c>
      <c r="C6" s="15">
        <f>IFERROR(VLOOKUP(A6,강남본부_전년!$A:$B,2,0),0)</f>
        <v>0</v>
      </c>
      <c r="D6" s="15">
        <f>IFERROR(VLOOKUP(A6,강서본부_전년!$A:$B,2,0),0)</f>
        <v>0</v>
      </c>
      <c r="E6" s="15">
        <f>IFERROR(VLOOKUP(A6,동부본부_전년!$A:$B,2,0),0)</f>
        <v>3689000</v>
      </c>
      <c r="F6" s="15">
        <f>IFERROR(VLOOKUP(A6,서부본부_전년!$A:$B,2,0),0)</f>
        <v>0</v>
      </c>
    </row>
    <row r="7" spans="1:6" hidden="1" outlineLevel="1" x14ac:dyDescent="0.45">
      <c r="A7" s="3" t="s">
        <v>5</v>
      </c>
      <c r="B7" s="15">
        <f>IFERROR(VLOOKUP(sum_!A7,강북본부_전년!$A:$B,2,0),0)</f>
        <v>0</v>
      </c>
      <c r="C7" s="15">
        <f>IFERROR(VLOOKUP(A7,강남본부_전년!$A:$B,2,0),0)</f>
        <v>0</v>
      </c>
      <c r="D7" s="15">
        <f>IFERROR(VLOOKUP(A7,강서본부_전년!$A:$B,2,0),0)</f>
        <v>0</v>
      </c>
      <c r="E7" s="15">
        <f>IFERROR(VLOOKUP(A7,동부본부_전년!$A:$B,2,0),0)</f>
        <v>0</v>
      </c>
      <c r="F7" s="15">
        <f>IFERROR(VLOOKUP(A7,서부본부_전년!$A:$B,2,0),0)</f>
        <v>0</v>
      </c>
    </row>
    <row r="8" spans="1:6" hidden="1" outlineLevel="1" x14ac:dyDescent="0.45">
      <c r="A8" s="3" t="s">
        <v>6</v>
      </c>
      <c r="B8" s="15">
        <f>IFERROR(VLOOKUP(sum_!A8,강북본부_전년!$A:$B,2,0),0)</f>
        <v>1478544454</v>
      </c>
      <c r="C8" s="15">
        <f>IFERROR(VLOOKUP(A8,강남본부_전년!$A:$B,2,0),0)</f>
        <v>1391993896</v>
      </c>
      <c r="D8" s="15">
        <f>IFERROR(VLOOKUP(A8,강서본부_전년!$A:$B,2,0),0)</f>
        <v>1980654809</v>
      </c>
      <c r="E8" s="15">
        <f>IFERROR(VLOOKUP(A8,동부본부_전년!$A:$B,2,0),0)</f>
        <v>1832734157</v>
      </c>
      <c r="F8" s="15">
        <f>IFERROR(VLOOKUP(A8,서부본부_전년!$A:$B,2,0),0)</f>
        <v>1465820915</v>
      </c>
    </row>
    <row r="9" spans="1:6" hidden="1" outlineLevel="1" x14ac:dyDescent="0.45">
      <c r="A9" s="3" t="s">
        <v>7</v>
      </c>
      <c r="B9" s="15">
        <f>IFERROR(VLOOKUP(sum_!A9,강북본부_전년!$A:$B,2,0),0)</f>
        <v>35090026</v>
      </c>
      <c r="C9" s="15">
        <f>IFERROR(VLOOKUP(A9,강남본부_전년!$A:$B,2,0),0)</f>
        <v>34891702</v>
      </c>
      <c r="D9" s="15">
        <f>IFERROR(VLOOKUP(A9,강서본부_전년!$A:$B,2,0),0)</f>
        <v>52234291</v>
      </c>
      <c r="E9" s="15">
        <f>IFERROR(VLOOKUP(A9,동부본부_전년!$A:$B,2,0),0)</f>
        <v>46923613</v>
      </c>
      <c r="F9" s="15">
        <f>IFERROR(VLOOKUP(A9,서부본부_전년!$A:$B,2,0),0)</f>
        <v>37870500</v>
      </c>
    </row>
    <row r="10" spans="1:6" hidden="1" outlineLevel="1" x14ac:dyDescent="0.45">
      <c r="A10" s="3" t="s">
        <v>8</v>
      </c>
      <c r="B10" s="15">
        <f>IFERROR(VLOOKUP(sum_!A10,강북본부_전년!$A:$B,2,0),0)</f>
        <v>0</v>
      </c>
      <c r="C10" s="15">
        <f>IFERROR(VLOOKUP(A10,강남본부_전년!$A:$B,2,0),0)</f>
        <v>0</v>
      </c>
      <c r="D10" s="15">
        <f>IFERROR(VLOOKUP(A10,강서본부_전년!$A:$B,2,0),0)</f>
        <v>0</v>
      </c>
      <c r="E10" s="15">
        <f>IFERROR(VLOOKUP(A10,동부본부_전년!$A:$B,2,0),0)</f>
        <v>0</v>
      </c>
      <c r="F10" s="15">
        <f>IFERROR(VLOOKUP(A10,서부본부_전년!$A:$B,2,0),0)</f>
        <v>0</v>
      </c>
    </row>
    <row r="11" spans="1:6" hidden="1" outlineLevel="1" x14ac:dyDescent="0.45">
      <c r="A11" s="3" t="s">
        <v>9</v>
      </c>
      <c r="B11" s="15">
        <f>IFERROR(VLOOKUP(sum_!A11,강북본부_전년!$A:$B,2,0),0)</f>
        <v>46920161</v>
      </c>
      <c r="C11" s="15">
        <f>IFERROR(VLOOKUP(A11,강남본부_전년!$A:$B,2,0),0)</f>
        <v>49987799</v>
      </c>
      <c r="D11" s="15">
        <f>IFERROR(VLOOKUP(A11,강서본부_전년!$A:$B,2,0),0)</f>
        <v>74151512</v>
      </c>
      <c r="E11" s="15">
        <f>IFERROR(VLOOKUP(A11,동부본부_전년!$A:$B,2,0),0)</f>
        <v>52208568</v>
      </c>
      <c r="F11" s="15">
        <f>IFERROR(VLOOKUP(A11,서부본부_전년!$A:$B,2,0),0)</f>
        <v>55490273</v>
      </c>
    </row>
    <row r="12" spans="1:6" hidden="1" outlineLevel="1" x14ac:dyDescent="0.45">
      <c r="A12" s="3" t="s">
        <v>10</v>
      </c>
      <c r="B12" s="15">
        <f>IFERROR(VLOOKUP(sum_!A12,강북본부_전년!$A:$B,2,0),0)</f>
        <v>0</v>
      </c>
      <c r="C12" s="15">
        <f>IFERROR(VLOOKUP(A12,강남본부_전년!$A:$B,2,0),0)</f>
        <v>0</v>
      </c>
      <c r="D12" s="15">
        <f>IFERROR(VLOOKUP(A12,강서본부_전년!$A:$B,2,0),0)</f>
        <v>0</v>
      </c>
      <c r="E12" s="15">
        <f>IFERROR(VLOOKUP(A12,동부본부_전년!$A:$B,2,0),0)</f>
        <v>0</v>
      </c>
      <c r="F12" s="15">
        <f>IFERROR(VLOOKUP(A12,서부본부_전년!$A:$B,2,0),0)</f>
        <v>0</v>
      </c>
    </row>
    <row r="13" spans="1:6" collapsed="1" x14ac:dyDescent="0.45">
      <c r="A13" s="2" t="s">
        <v>11</v>
      </c>
      <c r="B13" s="14">
        <f>IFERROR(VLOOKUP(sum_!A13,강북본부_전년!$A:$B,2,0),0)</f>
        <v>1954610972</v>
      </c>
      <c r="C13" s="14">
        <f>IFERROR(VLOOKUP(A13,강남본부_전년!$A:$B,2,0),0)</f>
        <v>1909134284</v>
      </c>
      <c r="D13" s="14">
        <f>IFERROR(VLOOKUP(A13,강서본부_전년!$A:$B,2,0),0)</f>
        <v>2480503963</v>
      </c>
      <c r="E13" s="14">
        <f>IFERROR(VLOOKUP(A13,동부본부_전년!$A:$B,2,0),0)</f>
        <v>3017371104</v>
      </c>
      <c r="F13" s="14">
        <f>IFERROR(VLOOKUP(A13,서부본부_전년!$A:$B,2,0),0)</f>
        <v>2704073099</v>
      </c>
    </row>
    <row r="14" spans="1:6" hidden="1" outlineLevel="1" x14ac:dyDescent="0.45">
      <c r="A14" s="36" t="s">
        <v>12</v>
      </c>
      <c r="B14" s="37">
        <f>IFERROR(VLOOKUP(sum_!A14,강북본부_전년!$A:$B,2,0),0)</f>
        <v>634622031</v>
      </c>
      <c r="C14" s="37">
        <f>IFERROR(VLOOKUP(A14,강남본부_전년!$A:$B,2,0),0)</f>
        <v>665843184</v>
      </c>
      <c r="D14" s="37">
        <f>IFERROR(VLOOKUP(A14,강서본부_전년!$A:$B,2,0),0)</f>
        <v>974306244</v>
      </c>
      <c r="E14" s="37">
        <f>IFERROR(VLOOKUP(A14,동부본부_전년!$A:$B,2,0),0)</f>
        <v>947955753</v>
      </c>
      <c r="F14" s="37">
        <f>IFERROR(VLOOKUP(A14,서부본부_전년!$A:$B,2,0),0)</f>
        <v>868910001</v>
      </c>
    </row>
    <row r="15" spans="1:6" hidden="1" outlineLevel="1" x14ac:dyDescent="0.45">
      <c r="A15" s="36" t="s">
        <v>13</v>
      </c>
      <c r="B15" s="37">
        <f>IFERROR(VLOOKUP(sum_!A15,강북본부_전년!$A:$B,2,0),0)</f>
        <v>14845454</v>
      </c>
      <c r="C15" s="37">
        <f>IFERROR(VLOOKUP(A15,강남본부_전년!$A:$B,2,0),0)</f>
        <v>-16272</v>
      </c>
      <c r="D15" s="37">
        <f>IFERROR(VLOOKUP(A15,강서본부_전년!$A:$B,2,0),0)</f>
        <v>22310909</v>
      </c>
      <c r="E15" s="37">
        <f>IFERROR(VLOOKUP(A15,동부본부_전년!$A:$B,2,0),0)</f>
        <v>0</v>
      </c>
      <c r="F15" s="37">
        <f>IFERROR(VLOOKUP(A15,서부본부_전년!$A:$B,2,0),0)</f>
        <v>2090907</v>
      </c>
    </row>
    <row r="16" spans="1:6" hidden="1" outlineLevel="1" x14ac:dyDescent="0.45">
      <c r="A16" s="36" t="s">
        <v>14</v>
      </c>
      <c r="B16" s="37">
        <f>IFERROR(VLOOKUP(sum_!A16,강북본부_전년!$A:$B,2,0),0)</f>
        <v>576871331</v>
      </c>
      <c r="C16" s="37">
        <f>IFERROR(VLOOKUP(A16,강남본부_전년!$A:$B,2,0),0)</f>
        <v>584996158</v>
      </c>
      <c r="D16" s="37">
        <f>IFERROR(VLOOKUP(A16,강서본부_전년!$A:$B,2,0),0)</f>
        <v>648574564</v>
      </c>
      <c r="E16" s="37">
        <f>IFERROR(VLOOKUP(A16,동부본부_전년!$A:$B,2,0),0)</f>
        <v>840158637</v>
      </c>
      <c r="F16" s="37">
        <f>IFERROR(VLOOKUP(A16,서부본부_전년!$A:$B,2,0),0)</f>
        <v>784684138</v>
      </c>
    </row>
    <row r="17" spans="1:6" hidden="1" outlineLevel="1" x14ac:dyDescent="0.45">
      <c r="A17" s="36" t="s">
        <v>15</v>
      </c>
      <c r="B17" s="37">
        <f>IFERROR(VLOOKUP(sum_!A17,강북본부_전년!$A:$B,2,0),0)</f>
        <v>10744255</v>
      </c>
      <c r="C17" s="37">
        <f>IFERROR(VLOOKUP(A17,강남본부_전년!$A:$B,2,0),0)</f>
        <v>10033480</v>
      </c>
      <c r="D17" s="37">
        <f>IFERROR(VLOOKUP(A17,강서본부_전년!$A:$B,2,0),0)</f>
        <v>11444050</v>
      </c>
      <c r="E17" s="37">
        <f>IFERROR(VLOOKUP(A17,동부본부_전년!$A:$B,2,0),0)</f>
        <v>12947940</v>
      </c>
      <c r="F17" s="37">
        <f>IFERROR(VLOOKUP(A17,서부본부_전년!$A:$B,2,0),0)</f>
        <v>11086918</v>
      </c>
    </row>
    <row r="18" spans="1:6" hidden="1" outlineLevel="1" x14ac:dyDescent="0.45">
      <c r="A18" s="36" t="s">
        <v>16</v>
      </c>
      <c r="B18" s="37">
        <f>IFERROR(VLOOKUP(sum_!A18,강북본부_전년!$A:$B,2,0),0)</f>
        <v>206672553</v>
      </c>
      <c r="C18" s="37">
        <f>IFERROR(VLOOKUP(A18,강남본부_전년!$A:$B,2,0),0)</f>
        <v>275091116</v>
      </c>
      <c r="D18" s="37">
        <f>IFERROR(VLOOKUP(A18,강서본부_전년!$A:$B,2,0),0)</f>
        <v>393063779</v>
      </c>
      <c r="E18" s="37">
        <f>IFERROR(VLOOKUP(A18,동부본부_전년!$A:$B,2,0),0)</f>
        <v>371590606</v>
      </c>
      <c r="F18" s="37">
        <f>IFERROR(VLOOKUP(A18,서부본부_전년!$A:$B,2,0),0)</f>
        <v>293917172</v>
      </c>
    </row>
    <row r="19" spans="1:6" hidden="1" outlineLevel="1" x14ac:dyDescent="0.45">
      <c r="A19" s="36" t="s">
        <v>17</v>
      </c>
      <c r="B19" s="37">
        <f>IFERROR(VLOOKUP(sum_!A19,강북본부_전년!$A:$B,2,0),0)</f>
        <v>0</v>
      </c>
      <c r="C19" s="37">
        <f>IFERROR(VLOOKUP(A19,강남본부_전년!$A:$B,2,0),0)</f>
        <v>0</v>
      </c>
      <c r="D19" s="37">
        <f>IFERROR(VLOOKUP(A19,강서본부_전년!$A:$B,2,0),0)</f>
        <v>0</v>
      </c>
      <c r="E19" s="37">
        <f>IFERROR(VLOOKUP(A19,동부본부_전년!$A:$B,2,0),0)</f>
        <v>0</v>
      </c>
      <c r="F19" s="37">
        <f>IFERROR(VLOOKUP(A19,서부본부_전년!$A:$B,2,0),0)</f>
        <v>0</v>
      </c>
    </row>
    <row r="20" spans="1:6" hidden="1" outlineLevel="1" x14ac:dyDescent="0.45">
      <c r="A20" s="36" t="s">
        <v>18</v>
      </c>
      <c r="B20" s="37">
        <f>IFERROR(VLOOKUP(sum_!A20,강북본부_전년!$A:$B,2,0),0)</f>
        <v>0</v>
      </c>
      <c r="C20" s="37">
        <f>IFERROR(VLOOKUP(A20,강남본부_전년!$A:$B,2,0),0)</f>
        <v>0</v>
      </c>
      <c r="D20" s="37">
        <f>IFERROR(VLOOKUP(A20,강서본부_전년!$A:$B,2,0),0)</f>
        <v>0</v>
      </c>
      <c r="E20" s="37">
        <f>IFERROR(VLOOKUP(A20,동부본부_전년!$A:$B,2,0),0)</f>
        <v>0</v>
      </c>
      <c r="F20" s="37">
        <f>IFERROR(VLOOKUP(A20,서부본부_전년!$A:$B,2,0),0)</f>
        <v>0</v>
      </c>
    </row>
    <row r="21" spans="1:6" hidden="1" outlineLevel="1" x14ac:dyDescent="0.45">
      <c r="A21" s="36" t="s">
        <v>19</v>
      </c>
      <c r="B21" s="37">
        <f>IFERROR(VLOOKUP(sum_!A21,강북본부_전년!$A:$B,2,0),0)</f>
        <v>0</v>
      </c>
      <c r="C21" s="37">
        <f>IFERROR(VLOOKUP(A21,강남본부_전년!$A:$B,2,0),0)</f>
        <v>1663636</v>
      </c>
      <c r="D21" s="37">
        <f>IFERROR(VLOOKUP(A21,강서본부_전년!$A:$B,2,0),0)</f>
        <v>0</v>
      </c>
      <c r="E21" s="37">
        <f>IFERROR(VLOOKUP(A21,동부본부_전년!$A:$B,2,0),0)</f>
        <v>0</v>
      </c>
      <c r="F21" s="37">
        <f>IFERROR(VLOOKUP(A21,서부본부_전년!$A:$B,2,0),0)</f>
        <v>0</v>
      </c>
    </row>
    <row r="22" spans="1:6" hidden="1" outlineLevel="1" x14ac:dyDescent="0.45">
      <c r="A22" s="36" t="s">
        <v>20</v>
      </c>
      <c r="B22" s="37">
        <f>IFERROR(VLOOKUP(sum_!A22,강북본부_전년!$A:$B,2,0),0)</f>
        <v>356600252</v>
      </c>
      <c r="C22" s="37">
        <f>IFERROR(VLOOKUP(A22,강남본부_전년!$A:$B,2,0),0)</f>
        <v>241808466</v>
      </c>
      <c r="D22" s="37">
        <f>IFERROR(VLOOKUP(A22,강서본부_전년!$A:$B,2,0),0)</f>
        <v>261123805</v>
      </c>
      <c r="E22" s="37">
        <f>IFERROR(VLOOKUP(A22,동부본부_전년!$A:$B,2,0),0)</f>
        <v>666623642</v>
      </c>
      <c r="F22" s="37">
        <f>IFERROR(VLOOKUP(A22,서부본부_전년!$A:$B,2,0),0)</f>
        <v>581416108</v>
      </c>
    </row>
    <row r="23" spans="1:6" hidden="1" outlineLevel="1" x14ac:dyDescent="0.45">
      <c r="A23" s="36" t="s">
        <v>21</v>
      </c>
      <c r="B23" s="37">
        <f>IFERROR(VLOOKUP(sum_!A23,강북본부_전년!$A:$B,2,0),0)</f>
        <v>154255096</v>
      </c>
      <c r="C23" s="37">
        <f>IFERROR(VLOOKUP(A23,강남본부_전년!$A:$B,2,0),0)</f>
        <v>129714516</v>
      </c>
      <c r="D23" s="37">
        <f>IFERROR(VLOOKUP(A23,강서본부_전년!$A:$B,2,0),0)</f>
        <v>169680612</v>
      </c>
      <c r="E23" s="37">
        <f>IFERROR(VLOOKUP(A23,동부본부_전년!$A:$B,2,0),0)</f>
        <v>178094526</v>
      </c>
      <c r="F23" s="37">
        <f>IFERROR(VLOOKUP(A23,서부본부_전년!$A:$B,2,0),0)</f>
        <v>161967855</v>
      </c>
    </row>
    <row r="24" spans="1:6" hidden="1" outlineLevel="1" x14ac:dyDescent="0.45">
      <c r="A24" s="36" t="s">
        <v>22</v>
      </c>
      <c r="B24" s="37">
        <f>IFERROR(VLOOKUP(sum_!A24,강북본부_전년!$A:$B,2,0),0)</f>
        <v>0</v>
      </c>
      <c r="C24" s="37">
        <f>IFERROR(VLOOKUP(A24,강남본부_전년!$A:$B,2,0),0)</f>
        <v>0</v>
      </c>
      <c r="D24" s="37">
        <f>IFERROR(VLOOKUP(A24,강서본부_전년!$A:$B,2,0),0)</f>
        <v>0</v>
      </c>
      <c r="E24" s="37">
        <f>IFERROR(VLOOKUP(A24,동부본부_전년!$A:$B,2,0),0)</f>
        <v>0</v>
      </c>
      <c r="F24" s="37">
        <f>IFERROR(VLOOKUP(A24,서부본부_전년!$A:$B,2,0),0)</f>
        <v>0</v>
      </c>
    </row>
    <row r="25" spans="1:6" collapsed="1" x14ac:dyDescent="0.45">
      <c r="A25" s="1" t="s">
        <v>23</v>
      </c>
      <c r="B25" s="13">
        <f>IFERROR(VLOOKUP(sum_!A25,강북본부_전년!$A:$B,2,0),0)</f>
        <v>1805765729</v>
      </c>
      <c r="C25" s="13">
        <f>IFERROR(VLOOKUP(A25,강남본부_전년!$A:$B,2,0),0)</f>
        <v>1745982873</v>
      </c>
      <c r="D25" s="13">
        <f>IFERROR(VLOOKUP(A25,강서본부_전년!$A:$B,2,0),0)</f>
        <v>2390646494</v>
      </c>
      <c r="E25" s="13">
        <f>IFERROR(VLOOKUP(A25,동부본부_전년!$A:$B,2,0),0)</f>
        <v>2337683310</v>
      </c>
      <c r="F25" s="13">
        <f>IFERROR(VLOOKUP(A25,서부본부_전년!$A:$B,2,0),0)</f>
        <v>1877277081</v>
      </c>
    </row>
    <row r="26" spans="1:6" x14ac:dyDescent="0.45">
      <c r="A26" s="2" t="s">
        <v>24</v>
      </c>
      <c r="B26" s="14">
        <f>IFERROR(VLOOKUP(sum_!A26,강북본부_전년!$A:$B,2,0),0)</f>
        <v>1805765729</v>
      </c>
      <c r="C26" s="14">
        <f>IFERROR(VLOOKUP(A26,강남본부_전년!$A:$B,2,0),0)</f>
        <v>1745982873</v>
      </c>
      <c r="D26" s="14">
        <f>IFERROR(VLOOKUP(A26,강서본부_전년!$A:$B,2,0),0)</f>
        <v>2390646494</v>
      </c>
      <c r="E26" s="14">
        <f>IFERROR(VLOOKUP(A26,동부본부_전년!$A:$B,2,0),0)</f>
        <v>2337683310</v>
      </c>
      <c r="F26" s="14">
        <f>IFERROR(VLOOKUP(A26,서부본부_전년!$A:$B,2,0),0)</f>
        <v>1877277081</v>
      </c>
    </row>
    <row r="27" spans="1:6" x14ac:dyDescent="0.45">
      <c r="A27" s="1" t="s">
        <v>25</v>
      </c>
      <c r="B27" s="13">
        <f>IFERROR(VLOOKUP(sum_!A27,강북본부_전년!$A:$B,2,0),0)</f>
        <v>1714188611</v>
      </c>
      <c r="C27" s="13">
        <f>IFERROR(VLOOKUP(A27,강남본부_전년!$A:$B,2,0),0)</f>
        <v>1643628399</v>
      </c>
      <c r="D27" s="13">
        <f>IFERROR(VLOOKUP(A27,강서본부_전년!$A:$B,2,0),0)</f>
        <v>2199607007</v>
      </c>
      <c r="E27" s="13">
        <f>IFERROR(VLOOKUP(A27,동부본부_전년!$A:$B,2,0),0)</f>
        <v>2630474860</v>
      </c>
      <c r="F27" s="13">
        <f>IFERROR(VLOOKUP(A27,서부본부_전년!$A:$B,2,0),0)</f>
        <v>2393072888</v>
      </c>
    </row>
    <row r="28" spans="1:6" x14ac:dyDescent="0.45">
      <c r="A28" s="1" t="s">
        <v>26</v>
      </c>
      <c r="B28" s="13">
        <f>IFERROR(VLOOKUP(sum_!A28,강북본부_전년!$A:$B,2,0),0)</f>
        <v>2262734412</v>
      </c>
      <c r="C28" s="13">
        <f>IFERROR(VLOOKUP(A28,강남본부_전년!$A:$B,2,0),0)</f>
        <v>2037788261</v>
      </c>
      <c r="D28" s="13">
        <f>IFERROR(VLOOKUP(A28,강서본부_전년!$A:$B,2,0),0)</f>
        <v>2425729337</v>
      </c>
      <c r="E28" s="13">
        <f>IFERROR(VLOOKUP(A28,동부본부_전년!$A:$B,2,0),0)</f>
        <v>3106289604</v>
      </c>
      <c r="F28" s="13">
        <f>IFERROR(VLOOKUP(A28,서부본부_전년!$A:$B,2,0),0)</f>
        <v>2598307610</v>
      </c>
    </row>
    <row r="29" spans="1:6" x14ac:dyDescent="0.45">
      <c r="A29" s="2" t="s">
        <v>27</v>
      </c>
      <c r="B29" s="14">
        <f>IFERROR(VLOOKUP(sum_!A29,강북본부_전년!$A:$B,2,0),0)</f>
        <v>11350800</v>
      </c>
      <c r="C29" s="14">
        <f>IFERROR(VLOOKUP(A29,강남본부_전년!$A:$B,2,0),0)</f>
        <v>11691540</v>
      </c>
      <c r="D29" s="14">
        <f>IFERROR(VLOOKUP(A29,강서본부_전년!$A:$B,2,0),0)</f>
        <v>11185420</v>
      </c>
      <c r="E29" s="14">
        <f>IFERROR(VLOOKUP(A29,동부본부_전년!$A:$B,2,0),0)</f>
        <v>11435140</v>
      </c>
      <c r="F29" s="14">
        <f>IFERROR(VLOOKUP(A29,서부본부_전년!$A:$B,2,0),0)</f>
        <v>11185420</v>
      </c>
    </row>
    <row r="30" spans="1:6" x14ac:dyDescent="0.45">
      <c r="A30" s="2" t="s">
        <v>28</v>
      </c>
      <c r="B30" s="14">
        <f>IFERROR(VLOOKUP(sum_!A30,강북본부_전년!$A:$B,2,0),0)</f>
        <v>1015448540</v>
      </c>
      <c r="C30" s="14">
        <f>IFERROR(VLOOKUP(A30,강남본부_전년!$A:$B,2,0),0)</f>
        <v>821615930</v>
      </c>
      <c r="D30" s="14">
        <f>IFERROR(VLOOKUP(A30,강서본부_전년!$A:$B,2,0),0)</f>
        <v>970648150</v>
      </c>
      <c r="E30" s="14">
        <f>IFERROR(VLOOKUP(A30,동부본부_전년!$A:$B,2,0),0)</f>
        <v>1247422170</v>
      </c>
      <c r="F30" s="14">
        <f>IFERROR(VLOOKUP(A30,서부본부_전년!$A:$B,2,0),0)</f>
        <v>1129263090</v>
      </c>
    </row>
    <row r="31" spans="1:6" hidden="1" outlineLevel="1" x14ac:dyDescent="0.45">
      <c r="A31" s="3" t="s">
        <v>29</v>
      </c>
      <c r="B31" s="15">
        <f>IFERROR(VLOOKUP(sum_!A31,강북본부_전년!$A:$B,2,0),0)</f>
        <v>56270260</v>
      </c>
      <c r="C31" s="15">
        <f>IFERROR(VLOOKUP(A31,강남본부_전년!$A:$B,2,0),0)</f>
        <v>59831820</v>
      </c>
      <c r="D31" s="15">
        <f>IFERROR(VLOOKUP(A31,강서본부_전년!$A:$B,2,0),0)</f>
        <v>37918710</v>
      </c>
      <c r="E31" s="15">
        <f>IFERROR(VLOOKUP(A31,동부본부_전년!$A:$B,2,0),0)</f>
        <v>70961010</v>
      </c>
      <c r="F31" s="15">
        <f>IFERROR(VLOOKUP(A31,서부본부_전년!$A:$B,2,0),0)</f>
        <v>59978000</v>
      </c>
    </row>
    <row r="32" spans="1:6" hidden="1" outlineLevel="1" x14ac:dyDescent="0.45">
      <c r="A32" s="3" t="s">
        <v>30</v>
      </c>
      <c r="B32" s="15">
        <f>IFERROR(VLOOKUP(sum_!A32,강북본부_전년!$A:$B,2,0),0)</f>
        <v>10287600</v>
      </c>
      <c r="C32" s="15">
        <f>IFERROR(VLOOKUP(A32,강남본부_전년!$A:$B,2,0),0)</f>
        <v>10896040</v>
      </c>
      <c r="D32" s="15">
        <f>IFERROR(VLOOKUP(A32,강서본부_전년!$A:$B,2,0),0)</f>
        <v>6854040</v>
      </c>
      <c r="E32" s="15">
        <f>IFERROR(VLOOKUP(A32,동부본부_전년!$A:$B,2,0),0)</f>
        <v>12885800</v>
      </c>
      <c r="F32" s="15">
        <f>IFERROR(VLOOKUP(A32,서부본부_전년!$A:$B,2,0),0)</f>
        <v>10847600</v>
      </c>
    </row>
    <row r="33" spans="1:6" hidden="1" outlineLevel="1" x14ac:dyDescent="0.45">
      <c r="A33" s="3" t="s">
        <v>31</v>
      </c>
      <c r="B33" s="15">
        <f>IFERROR(VLOOKUP(sum_!A33,강북본부_전년!$A:$B,2,0),0)</f>
        <v>2100000</v>
      </c>
      <c r="C33" s="15">
        <f>IFERROR(VLOOKUP(A33,강남본부_전년!$A:$B,2,0),0)</f>
        <v>2100000</v>
      </c>
      <c r="D33" s="15">
        <f>IFERROR(VLOOKUP(A33,강서본부_전년!$A:$B,2,0),0)</f>
        <v>700000</v>
      </c>
      <c r="E33" s="15">
        <f>IFERROR(VLOOKUP(A33,동부본부_전년!$A:$B,2,0),0)</f>
        <v>2100000</v>
      </c>
      <c r="F33" s="15">
        <f>IFERROR(VLOOKUP(A33,서부본부_전년!$A:$B,2,0),0)</f>
        <v>1400000</v>
      </c>
    </row>
    <row r="34" spans="1:6" hidden="1" outlineLevel="1" x14ac:dyDescent="0.45">
      <c r="A34" s="3" t="s">
        <v>32</v>
      </c>
      <c r="B34" s="15">
        <f>IFERROR(VLOOKUP(sum_!A34,강북본부_전년!$A:$B,2,0),0)</f>
        <v>807740</v>
      </c>
      <c r="C34" s="15">
        <f>IFERROR(VLOOKUP(A34,강남본부_전년!$A:$B,2,0),0)</f>
        <v>0</v>
      </c>
      <c r="D34" s="15">
        <f>IFERROR(VLOOKUP(A34,강서본부_전년!$A:$B,2,0),0)</f>
        <v>1244750</v>
      </c>
      <c r="E34" s="15">
        <f>IFERROR(VLOOKUP(A34,동부본부_전년!$A:$B,2,0),0)</f>
        <v>0</v>
      </c>
      <c r="F34" s="15">
        <f>IFERROR(VLOOKUP(A34,서부본부_전년!$A:$B,2,0),0)</f>
        <v>0</v>
      </c>
    </row>
    <row r="35" spans="1:6" hidden="1" outlineLevel="1" x14ac:dyDescent="0.45">
      <c r="A35" s="3" t="s">
        <v>33</v>
      </c>
      <c r="B35" s="15">
        <f>IFERROR(VLOOKUP(sum_!A35,강북본부_전년!$A:$B,2,0),0)</f>
        <v>1379860</v>
      </c>
      <c r="C35" s="15">
        <f>IFERROR(VLOOKUP(A35,강남본부_전년!$A:$B,2,0),0)</f>
        <v>2042510</v>
      </c>
      <c r="D35" s="15">
        <f>IFERROR(VLOOKUP(A35,강서본부_전년!$A:$B,2,0),0)</f>
        <v>935110</v>
      </c>
      <c r="E35" s="15">
        <f>IFERROR(VLOOKUP(A35,동부본부_전년!$A:$B,2,0),0)</f>
        <v>1810620</v>
      </c>
      <c r="F35" s="15">
        <f>IFERROR(VLOOKUP(A35,서부본부_전년!$A:$B,2,0),0)</f>
        <v>2418100</v>
      </c>
    </row>
    <row r="36" spans="1:6" hidden="1" outlineLevel="1" x14ac:dyDescent="0.45">
      <c r="A36" s="3" t="s">
        <v>34</v>
      </c>
      <c r="B36" s="15">
        <f>IFERROR(VLOOKUP(sum_!A36,강북본부_전년!$A:$B,2,0),0)</f>
        <v>908020</v>
      </c>
      <c r="C36" s="15">
        <f>IFERROR(VLOOKUP(A36,강남본부_전년!$A:$B,2,0),0)</f>
        <v>410540</v>
      </c>
      <c r="D36" s="15">
        <f>IFERROR(VLOOKUP(A36,강서본부_전년!$A:$B,2,0),0)</f>
        <v>848070</v>
      </c>
      <c r="E36" s="15">
        <f>IFERROR(VLOOKUP(A36,동부본부_전년!$A:$B,2,0),0)</f>
        <v>1332370</v>
      </c>
      <c r="F36" s="15">
        <f>IFERROR(VLOOKUP(A36,서부본부_전년!$A:$B,2,0),0)</f>
        <v>722460</v>
      </c>
    </row>
    <row r="37" spans="1:6" hidden="1" outlineLevel="1" x14ac:dyDescent="0.45">
      <c r="A37" s="3" t="s">
        <v>35</v>
      </c>
      <c r="B37" s="15">
        <f>IFERROR(VLOOKUP(sum_!A37,강북본부_전년!$A:$B,2,0),0)</f>
        <v>0</v>
      </c>
      <c r="C37" s="15">
        <f>IFERROR(VLOOKUP(A37,강남본부_전년!$A:$B,2,0),0)</f>
        <v>4164600</v>
      </c>
      <c r="D37" s="15">
        <f>IFERROR(VLOOKUP(A37,강서본부_전년!$A:$B,2,0),0)</f>
        <v>17733150</v>
      </c>
      <c r="E37" s="15">
        <f>IFERROR(VLOOKUP(A37,동부본부_전년!$A:$B,2,0),0)</f>
        <v>0</v>
      </c>
      <c r="F37" s="15">
        <f>IFERROR(VLOOKUP(A37,서부본부_전년!$A:$B,2,0),0)</f>
        <v>0</v>
      </c>
    </row>
    <row r="38" spans="1:6" hidden="1" outlineLevel="1" x14ac:dyDescent="0.45">
      <c r="A38" s="3" t="s">
        <v>36</v>
      </c>
      <c r="B38" s="15">
        <f>IFERROR(VLOOKUP(sum_!A38,강북본부_전년!$A:$B,2,0),0)</f>
        <v>0</v>
      </c>
      <c r="C38" s="15">
        <f>IFERROR(VLOOKUP(A38,강남본부_전년!$A:$B,2,0),0)</f>
        <v>706520</v>
      </c>
      <c r="D38" s="15">
        <f>IFERROR(VLOOKUP(A38,강서본부_전년!$A:$B,2,0),0)</f>
        <v>3008420</v>
      </c>
      <c r="E38" s="15">
        <f>IFERROR(VLOOKUP(A38,동부본부_전년!$A:$B,2,0),0)</f>
        <v>0</v>
      </c>
      <c r="F38" s="15">
        <f>IFERROR(VLOOKUP(A38,서부본부_전년!$A:$B,2,0),0)</f>
        <v>0</v>
      </c>
    </row>
    <row r="39" spans="1:6" hidden="1" outlineLevel="1" x14ac:dyDescent="0.45">
      <c r="A39" s="3" t="s">
        <v>37</v>
      </c>
      <c r="B39" s="15">
        <f>IFERROR(VLOOKUP(sum_!A39,강북본부_전년!$A:$B,2,0),0)</f>
        <v>0</v>
      </c>
      <c r="C39" s="15">
        <f>IFERROR(VLOOKUP(A39,강남본부_전년!$A:$B,2,0),0)</f>
        <v>0</v>
      </c>
      <c r="D39" s="15">
        <f>IFERROR(VLOOKUP(A39,강서본부_전년!$A:$B,2,0),0)</f>
        <v>0</v>
      </c>
      <c r="E39" s="15">
        <f>IFERROR(VLOOKUP(A39,동부본부_전년!$A:$B,2,0),0)</f>
        <v>0</v>
      </c>
      <c r="F39" s="15">
        <f>IFERROR(VLOOKUP(A39,서부본부_전년!$A:$B,2,0),0)</f>
        <v>0</v>
      </c>
    </row>
    <row r="40" spans="1:6" hidden="1" outlineLevel="1" x14ac:dyDescent="0.45">
      <c r="A40" s="3" t="s">
        <v>38</v>
      </c>
      <c r="B40" s="15">
        <f>IFERROR(VLOOKUP(sum_!A40,강북본부_전년!$A:$B,2,0),0)</f>
        <v>0</v>
      </c>
      <c r="C40" s="15">
        <f>IFERROR(VLOOKUP(A40,강남본부_전년!$A:$B,2,0),0)</f>
        <v>0</v>
      </c>
      <c r="D40" s="15">
        <f>IFERROR(VLOOKUP(A40,강서본부_전년!$A:$B,2,0),0)</f>
        <v>0</v>
      </c>
      <c r="E40" s="15">
        <f>IFERROR(VLOOKUP(A40,동부본부_전년!$A:$B,2,0),0)</f>
        <v>0</v>
      </c>
      <c r="F40" s="15">
        <f>IFERROR(VLOOKUP(A40,서부본부_전년!$A:$B,2,0),0)</f>
        <v>0</v>
      </c>
    </row>
    <row r="41" spans="1:6" hidden="1" outlineLevel="1" x14ac:dyDescent="0.45">
      <c r="A41" s="3" t="s">
        <v>39</v>
      </c>
      <c r="B41" s="15">
        <f>IFERROR(VLOOKUP(sum_!A41,강북본부_전년!$A:$B,2,0),0)</f>
        <v>0</v>
      </c>
      <c r="C41" s="15">
        <f>IFERROR(VLOOKUP(A41,강남본부_전년!$A:$B,2,0),0)</f>
        <v>0</v>
      </c>
      <c r="D41" s="15">
        <f>IFERROR(VLOOKUP(A41,강서본부_전년!$A:$B,2,0),0)</f>
        <v>0</v>
      </c>
      <c r="E41" s="15">
        <f>IFERROR(VLOOKUP(A41,동부본부_전년!$A:$B,2,0),0)</f>
        <v>0</v>
      </c>
      <c r="F41" s="15">
        <f>IFERROR(VLOOKUP(A41,서부본부_전년!$A:$B,2,0),0)</f>
        <v>0</v>
      </c>
    </row>
    <row r="42" spans="1:6" hidden="1" outlineLevel="1" x14ac:dyDescent="0.45">
      <c r="A42" s="3" t="s">
        <v>40</v>
      </c>
      <c r="B42" s="15">
        <f>IFERROR(VLOOKUP(sum_!A42,강북본부_전년!$A:$B,2,0),0)</f>
        <v>0</v>
      </c>
      <c r="C42" s="15">
        <f>IFERROR(VLOOKUP(A42,강남본부_전년!$A:$B,2,0),0)</f>
        <v>0</v>
      </c>
      <c r="D42" s="15">
        <f>IFERROR(VLOOKUP(A42,강서본부_전년!$A:$B,2,0),0)</f>
        <v>0</v>
      </c>
      <c r="E42" s="15">
        <f>IFERROR(VLOOKUP(A42,동부본부_전년!$A:$B,2,0),0)</f>
        <v>0</v>
      </c>
      <c r="F42" s="15">
        <f>IFERROR(VLOOKUP(A42,서부본부_전년!$A:$B,2,0),0)</f>
        <v>0</v>
      </c>
    </row>
    <row r="43" spans="1:6" hidden="1" outlineLevel="1" x14ac:dyDescent="0.45">
      <c r="A43" s="3" t="s">
        <v>41</v>
      </c>
      <c r="B43" s="15">
        <f>IFERROR(VLOOKUP(sum_!A43,강북본부_전년!$A:$B,2,0),0)</f>
        <v>2250000</v>
      </c>
      <c r="C43" s="15">
        <f>IFERROR(VLOOKUP(A43,강남본부_전년!$A:$B,2,0),0)</f>
        <v>2245000</v>
      </c>
      <c r="D43" s="15">
        <f>IFERROR(VLOOKUP(A43,강서본부_전년!$A:$B,2,0),0)</f>
        <v>1785000</v>
      </c>
      <c r="E43" s="15">
        <f>IFERROR(VLOOKUP(A43,동부본부_전년!$A:$B,2,0),0)</f>
        <v>2790000</v>
      </c>
      <c r="F43" s="15">
        <f>IFERROR(VLOOKUP(A43,서부본부_전년!$A:$B,2,0),0)</f>
        <v>2480000</v>
      </c>
    </row>
    <row r="44" spans="1:6" hidden="1" outlineLevel="1" x14ac:dyDescent="0.45">
      <c r="A44" s="3" t="s">
        <v>42</v>
      </c>
      <c r="B44" s="15">
        <f>IFERROR(VLOOKUP(sum_!A44,강북본부_전년!$A:$B,2,0),0)</f>
        <v>0</v>
      </c>
      <c r="C44" s="15">
        <f>IFERROR(VLOOKUP(A44,강남본부_전년!$A:$B,2,0),0)</f>
        <v>0</v>
      </c>
      <c r="D44" s="15">
        <f>IFERROR(VLOOKUP(A44,강서본부_전년!$A:$B,2,0),0)</f>
        <v>0</v>
      </c>
      <c r="E44" s="15">
        <f>IFERROR(VLOOKUP(A44,동부본부_전년!$A:$B,2,0),0)</f>
        <v>0</v>
      </c>
      <c r="F44" s="15">
        <f>IFERROR(VLOOKUP(A44,서부본부_전년!$A:$B,2,0),0)</f>
        <v>0</v>
      </c>
    </row>
    <row r="45" spans="1:6" hidden="1" outlineLevel="1" x14ac:dyDescent="0.45">
      <c r="A45" s="3" t="s">
        <v>43</v>
      </c>
      <c r="B45" s="15">
        <f>IFERROR(VLOOKUP(sum_!A45,강북본부_전년!$A:$B,2,0),0)</f>
        <v>0</v>
      </c>
      <c r="C45" s="15">
        <f>IFERROR(VLOOKUP(A45,강남본부_전년!$A:$B,2,0),0)</f>
        <v>310000</v>
      </c>
      <c r="D45" s="15">
        <f>IFERROR(VLOOKUP(A45,강서본부_전년!$A:$B,2,0),0)</f>
        <v>1320000</v>
      </c>
      <c r="E45" s="15">
        <f>IFERROR(VLOOKUP(A45,동부본부_전년!$A:$B,2,0),0)</f>
        <v>0</v>
      </c>
      <c r="F45" s="15">
        <f>IFERROR(VLOOKUP(A45,서부본부_전년!$A:$B,2,0),0)</f>
        <v>0</v>
      </c>
    </row>
    <row r="46" spans="1:6" hidden="1" outlineLevel="1" x14ac:dyDescent="0.45">
      <c r="A46" s="3" t="s">
        <v>44</v>
      </c>
      <c r="B46" s="15">
        <f>IFERROR(VLOOKUP(sum_!A46,강북본부_전년!$A:$B,2,0),0)</f>
        <v>0</v>
      </c>
      <c r="C46" s="15">
        <f>IFERROR(VLOOKUP(A46,강남본부_전년!$A:$B,2,0),0)</f>
        <v>0</v>
      </c>
      <c r="D46" s="15">
        <f>IFERROR(VLOOKUP(A46,강서본부_전년!$A:$B,2,0),0)</f>
        <v>0</v>
      </c>
      <c r="E46" s="15">
        <f>IFERROR(VLOOKUP(A46,동부본부_전년!$A:$B,2,0),0)</f>
        <v>0</v>
      </c>
      <c r="F46" s="15">
        <f>IFERROR(VLOOKUP(A46,서부본부_전년!$A:$B,2,0),0)</f>
        <v>0</v>
      </c>
    </row>
    <row r="47" spans="1:6" hidden="1" outlineLevel="1" x14ac:dyDescent="0.45">
      <c r="A47" s="3" t="s">
        <v>45</v>
      </c>
      <c r="B47" s="15">
        <f>IFERROR(VLOOKUP(sum_!A47,강북본부_전년!$A:$B,2,0),0)</f>
        <v>0</v>
      </c>
      <c r="C47" s="15">
        <f>IFERROR(VLOOKUP(A47,강남본부_전년!$A:$B,2,0),0)</f>
        <v>0</v>
      </c>
      <c r="D47" s="15">
        <f>IFERROR(VLOOKUP(A47,강서본부_전년!$A:$B,2,0),0)</f>
        <v>0</v>
      </c>
      <c r="E47" s="15">
        <f>IFERROR(VLOOKUP(A47,동부본부_전년!$A:$B,2,0),0)</f>
        <v>0</v>
      </c>
      <c r="F47" s="15">
        <f>IFERROR(VLOOKUP(A47,서부본부_전년!$A:$B,2,0),0)</f>
        <v>0</v>
      </c>
    </row>
    <row r="48" spans="1:6" hidden="1" outlineLevel="1" x14ac:dyDescent="0.45">
      <c r="A48" s="3" t="s">
        <v>46</v>
      </c>
      <c r="B48" s="15">
        <f>IFERROR(VLOOKUP(sum_!A48,강북본부_전년!$A:$B,2,0),0)</f>
        <v>720468240</v>
      </c>
      <c r="C48" s="15">
        <f>IFERROR(VLOOKUP(A48,강남본부_전년!$A:$B,2,0),0)</f>
        <v>574187470</v>
      </c>
      <c r="D48" s="15">
        <f>IFERROR(VLOOKUP(A48,강서본부_전년!$A:$B,2,0),0)</f>
        <v>698354090</v>
      </c>
      <c r="E48" s="15">
        <f>IFERROR(VLOOKUP(A48,동부본부_전년!$A:$B,2,0),0)</f>
        <v>891107300</v>
      </c>
      <c r="F48" s="15">
        <f>IFERROR(VLOOKUP(A48,서부본부_전년!$A:$B,2,0),0)</f>
        <v>799588010</v>
      </c>
    </row>
    <row r="49" spans="1:6" hidden="1" outlineLevel="1" x14ac:dyDescent="0.45">
      <c r="A49" s="3" t="s">
        <v>47</v>
      </c>
      <c r="B49" s="15">
        <f>IFERROR(VLOOKUP(sum_!A49,강북본부_전년!$A:$B,2,0),0)</f>
        <v>122350680</v>
      </c>
      <c r="C49" s="15">
        <f>IFERROR(VLOOKUP(A49,강남본부_전년!$A:$B,2,0),0)</f>
        <v>96921490</v>
      </c>
      <c r="D49" s="15">
        <f>IFERROR(VLOOKUP(A49,강서본부_전년!$A:$B,2,0),0)</f>
        <v>117820910</v>
      </c>
      <c r="E49" s="15">
        <f>IFERROR(VLOOKUP(A49,동부본부_전년!$A:$B,2,0),0)</f>
        <v>150920770</v>
      </c>
      <c r="F49" s="15">
        <f>IFERROR(VLOOKUP(A49,서부본부_전년!$A:$B,2,0),0)</f>
        <v>136537060</v>
      </c>
    </row>
    <row r="50" spans="1:6" hidden="1" outlineLevel="1" x14ac:dyDescent="0.45">
      <c r="A50" s="3" t="s">
        <v>48</v>
      </c>
      <c r="B50" s="15">
        <f>IFERROR(VLOOKUP(sum_!A50,강북본부_전년!$A:$B,2,0),0)</f>
        <v>24493570</v>
      </c>
      <c r="C50" s="15">
        <f>IFERROR(VLOOKUP(A50,강남본부_전년!$A:$B,2,0),0)</f>
        <v>20738720</v>
      </c>
      <c r="D50" s="15">
        <f>IFERROR(VLOOKUP(A50,강서본부_전년!$A:$B,2,0),0)</f>
        <v>25835510</v>
      </c>
      <c r="E50" s="15">
        <f>IFERROR(VLOOKUP(A50,동부본부_전년!$A:$B,2,0),0)</f>
        <v>28738720</v>
      </c>
      <c r="F50" s="15">
        <f>IFERROR(VLOOKUP(A50,서부본부_전년!$A:$B,2,0),0)</f>
        <v>26696800</v>
      </c>
    </row>
    <row r="51" spans="1:6" hidden="1" outlineLevel="1" x14ac:dyDescent="0.45">
      <c r="A51" s="3" t="s">
        <v>49</v>
      </c>
      <c r="B51" s="15">
        <f>IFERROR(VLOOKUP(sum_!A51,강북본부_전년!$A:$B,2,0),0)</f>
        <v>51035000</v>
      </c>
      <c r="C51" s="15">
        <f>IFERROR(VLOOKUP(A51,강남본부_전년!$A:$B,2,0),0)</f>
        <v>40485000</v>
      </c>
      <c r="D51" s="15">
        <f>IFERROR(VLOOKUP(A51,강서본부_전년!$A:$B,2,0),0)</f>
        <v>49590000</v>
      </c>
      <c r="E51" s="15">
        <f>IFERROR(VLOOKUP(A51,동부본부_전년!$A:$B,2,0),0)</f>
        <v>62605000</v>
      </c>
      <c r="F51" s="15">
        <f>IFERROR(VLOOKUP(A51,서부본부_전년!$A:$B,2,0),0)</f>
        <v>56740000</v>
      </c>
    </row>
    <row r="52" spans="1:6" hidden="1" outlineLevel="1" x14ac:dyDescent="0.45">
      <c r="A52" s="3" t="s">
        <v>50</v>
      </c>
      <c r="B52" s="15">
        <f>IFERROR(VLOOKUP(sum_!A52,강북본부_전년!$A:$B,2,0),0)</f>
        <v>0</v>
      </c>
      <c r="C52" s="15">
        <f>IFERROR(VLOOKUP(A52,강남본부_전년!$A:$B,2,0),0)</f>
        <v>0</v>
      </c>
      <c r="D52" s="15">
        <f>IFERROR(VLOOKUP(A52,강서본부_전년!$A:$B,2,0),0)</f>
        <v>20000</v>
      </c>
      <c r="E52" s="15">
        <f>IFERROR(VLOOKUP(A52,동부본부_전년!$A:$B,2,0),0)</f>
        <v>0</v>
      </c>
      <c r="F52" s="15">
        <f>IFERROR(VLOOKUP(A52,서부본부_전년!$A:$B,2,0),0)</f>
        <v>0</v>
      </c>
    </row>
    <row r="53" spans="1:6" hidden="1" outlineLevel="1" x14ac:dyDescent="0.45">
      <c r="A53" s="3" t="s">
        <v>51</v>
      </c>
      <c r="B53" s="15">
        <f>IFERROR(VLOOKUP(sum_!A53,강북본부_전년!$A:$B,2,0),0)</f>
        <v>0</v>
      </c>
      <c r="C53" s="15">
        <f>IFERROR(VLOOKUP(A53,강남본부_전년!$A:$B,2,0),0)</f>
        <v>0</v>
      </c>
      <c r="D53" s="15">
        <f>IFERROR(VLOOKUP(A53,강서본부_전년!$A:$B,2,0),0)</f>
        <v>0</v>
      </c>
      <c r="E53" s="15">
        <f>IFERROR(VLOOKUP(A53,동부본부_전년!$A:$B,2,0),0)</f>
        <v>0</v>
      </c>
      <c r="F53" s="15">
        <f>IFERROR(VLOOKUP(A53,서부본부_전년!$A:$B,2,0),0)</f>
        <v>0</v>
      </c>
    </row>
    <row r="54" spans="1:6" hidden="1" outlineLevel="1" x14ac:dyDescent="0.45">
      <c r="A54" s="3" t="s">
        <v>52</v>
      </c>
      <c r="B54" s="15">
        <f>IFERROR(VLOOKUP(sum_!A54,강북본부_전년!$A:$B,2,0),0)</f>
        <v>2869810</v>
      </c>
      <c r="C54" s="15">
        <f>IFERROR(VLOOKUP(A54,강남본부_전년!$A:$B,2,0),0)</f>
        <v>1381880</v>
      </c>
      <c r="D54" s="15">
        <f>IFERROR(VLOOKUP(A54,강서본부_전년!$A:$B,2,0),0)</f>
        <v>3805370</v>
      </c>
      <c r="E54" s="15">
        <f>IFERROR(VLOOKUP(A54,동부본부_전년!$A:$B,2,0),0)</f>
        <v>85640</v>
      </c>
      <c r="F54" s="15">
        <f>IFERROR(VLOOKUP(A54,서부본부_전년!$A:$B,2,0),0)</f>
        <v>5923470</v>
      </c>
    </row>
    <row r="55" spans="1:6" hidden="1" outlineLevel="1" x14ac:dyDescent="0.45">
      <c r="A55" s="3" t="s">
        <v>53</v>
      </c>
      <c r="B55" s="15">
        <f>IFERROR(VLOOKUP(sum_!A55,강북본부_전년!$A:$B,2,0),0)</f>
        <v>15543360</v>
      </c>
      <c r="C55" s="15">
        <f>IFERROR(VLOOKUP(A55,강남본부_전년!$A:$B,2,0),0)</f>
        <v>2590560</v>
      </c>
      <c r="D55" s="15">
        <f>IFERROR(VLOOKUP(A55,강서본부_전년!$A:$B,2,0),0)</f>
        <v>0</v>
      </c>
      <c r="E55" s="15">
        <f>IFERROR(VLOOKUP(A55,동부본부_전년!$A:$B,2,0),0)</f>
        <v>18384630</v>
      </c>
      <c r="F55" s="15">
        <f>IFERROR(VLOOKUP(A55,서부본부_전년!$A:$B,2,0),0)</f>
        <v>19915450</v>
      </c>
    </row>
    <row r="56" spans="1:6" hidden="1" outlineLevel="1" x14ac:dyDescent="0.45">
      <c r="A56" s="3" t="s">
        <v>54</v>
      </c>
      <c r="B56" s="15">
        <f>IFERROR(VLOOKUP(sum_!A56,강북본부_전년!$A:$B,2,0),0)</f>
        <v>0</v>
      </c>
      <c r="C56" s="15">
        <f>IFERROR(VLOOKUP(A56,강남본부_전년!$A:$B,2,0),0)</f>
        <v>0</v>
      </c>
      <c r="D56" s="15">
        <f>IFERROR(VLOOKUP(A56,강서본부_전년!$A:$B,2,0),0)</f>
        <v>0</v>
      </c>
      <c r="E56" s="15">
        <f>IFERROR(VLOOKUP(A56,동부본부_전년!$A:$B,2,0),0)</f>
        <v>0</v>
      </c>
      <c r="F56" s="15">
        <f>IFERROR(VLOOKUP(A56,서부본부_전년!$A:$B,2,0),0)</f>
        <v>0</v>
      </c>
    </row>
    <row r="57" spans="1:6" hidden="1" outlineLevel="1" x14ac:dyDescent="0.45">
      <c r="A57" s="3" t="s">
        <v>55</v>
      </c>
      <c r="B57" s="15">
        <f>IFERROR(VLOOKUP(sum_!A57,강북본부_전년!$A:$B,2,0),0)</f>
        <v>0</v>
      </c>
      <c r="C57" s="15">
        <f>IFERROR(VLOOKUP(A57,강남본부_전년!$A:$B,2,0),0)</f>
        <v>0</v>
      </c>
      <c r="D57" s="15">
        <f>IFERROR(VLOOKUP(A57,강서본부_전년!$A:$B,2,0),0)</f>
        <v>0</v>
      </c>
      <c r="E57" s="15">
        <f>IFERROR(VLOOKUP(A57,동부본부_전년!$A:$B,2,0),0)</f>
        <v>0</v>
      </c>
      <c r="F57" s="15">
        <f>IFERROR(VLOOKUP(A57,서부본부_전년!$A:$B,2,0),0)</f>
        <v>0</v>
      </c>
    </row>
    <row r="58" spans="1:6" hidden="1" outlineLevel="1" x14ac:dyDescent="0.45">
      <c r="A58" s="3" t="s">
        <v>56</v>
      </c>
      <c r="B58" s="15">
        <f>IFERROR(VLOOKUP(sum_!A58,강북본부_전년!$A:$B,2,0),0)</f>
        <v>2284400</v>
      </c>
      <c r="C58" s="15">
        <f>IFERROR(VLOOKUP(A58,강남본부_전년!$A:$B,2,0),0)</f>
        <v>2603780</v>
      </c>
      <c r="D58" s="15">
        <f>IFERROR(VLOOKUP(A58,강서본부_전년!$A:$B,2,0),0)</f>
        <v>2875020</v>
      </c>
      <c r="E58" s="15">
        <f>IFERROR(VLOOKUP(A58,동부본부_전년!$A:$B,2,0),0)</f>
        <v>2131920</v>
      </c>
      <c r="F58" s="15">
        <f>IFERROR(VLOOKUP(A58,서부본부_전년!$A:$B,2,0),0)</f>
        <v>2186140</v>
      </c>
    </row>
    <row r="59" spans="1:6" hidden="1" outlineLevel="1" x14ac:dyDescent="0.45">
      <c r="A59" s="3" t="s">
        <v>57</v>
      </c>
      <c r="B59" s="15">
        <f>IFERROR(VLOOKUP(sum_!A59,강북본부_전년!$A:$B,2,0),0)</f>
        <v>0</v>
      </c>
      <c r="C59" s="15">
        <f>IFERROR(VLOOKUP(A59,강남본부_전년!$A:$B,2,0),0)</f>
        <v>0</v>
      </c>
      <c r="D59" s="15">
        <f>IFERROR(VLOOKUP(A59,강서본부_전년!$A:$B,2,0),0)</f>
        <v>0</v>
      </c>
      <c r="E59" s="15">
        <f>IFERROR(VLOOKUP(A59,동부본부_전년!$A:$B,2,0),0)</f>
        <v>0</v>
      </c>
      <c r="F59" s="15">
        <f>IFERROR(VLOOKUP(A59,서부본부_전년!$A:$B,2,0),0)</f>
        <v>0</v>
      </c>
    </row>
    <row r="60" spans="1:6" hidden="1" outlineLevel="1" x14ac:dyDescent="0.45">
      <c r="A60" s="3" t="s">
        <v>58</v>
      </c>
      <c r="B60" s="15">
        <f>IFERROR(VLOOKUP(sum_!A60,강북본부_전년!$A:$B,2,0),0)</f>
        <v>2400000</v>
      </c>
      <c r="C60" s="15">
        <f>IFERROR(VLOOKUP(A60,강남본부_전년!$A:$B,2,0),0)</f>
        <v>0</v>
      </c>
      <c r="D60" s="15">
        <f>IFERROR(VLOOKUP(A60,강서본부_전년!$A:$B,2,0),0)</f>
        <v>0</v>
      </c>
      <c r="E60" s="15">
        <f>IFERROR(VLOOKUP(A60,동부본부_전년!$A:$B,2,0),0)</f>
        <v>1568390</v>
      </c>
      <c r="F60" s="15">
        <f>IFERROR(VLOOKUP(A60,서부본부_전년!$A:$B,2,0),0)</f>
        <v>3830000</v>
      </c>
    </row>
    <row r="61" spans="1:6" hidden="1" outlineLevel="1" x14ac:dyDescent="0.45">
      <c r="A61" s="4" t="s">
        <v>59</v>
      </c>
      <c r="B61" s="16">
        <f>IFERROR(VLOOKUP(sum_!A61,강북본부_전년!$A:$B,2,0),0)</f>
        <v>0</v>
      </c>
      <c r="C61" s="16">
        <f>IFERROR(VLOOKUP(A61,강남본부_전년!$A:$B,2,0),0)</f>
        <v>0</v>
      </c>
      <c r="D61" s="16">
        <f>IFERROR(VLOOKUP(A61,강서본부_전년!$A:$B,2,0),0)</f>
        <v>0</v>
      </c>
      <c r="E61" s="16">
        <f>IFERROR(VLOOKUP(A61,동부본부_전년!$A:$B,2,0),0)</f>
        <v>0</v>
      </c>
      <c r="F61" s="16">
        <f>IFERROR(VLOOKUP(A61,서부본부_전년!$A:$B,2,0),0)</f>
        <v>0</v>
      </c>
    </row>
    <row r="62" spans="1:6" hidden="1" outlineLevel="1" x14ac:dyDescent="0.45">
      <c r="A62" s="3" t="s">
        <v>60</v>
      </c>
      <c r="B62" s="15">
        <f>IFERROR(VLOOKUP(sum_!A62,강북본부_전년!$A:$B,2,0),0)</f>
        <v>0</v>
      </c>
      <c r="C62" s="15">
        <f>IFERROR(VLOOKUP(A62,강남본부_전년!$A:$B,2,0),0)</f>
        <v>0</v>
      </c>
      <c r="D62" s="15">
        <f>IFERROR(VLOOKUP(A62,강서본부_전년!$A:$B,2,0),0)</f>
        <v>0</v>
      </c>
      <c r="E62" s="15">
        <f>IFERROR(VLOOKUP(A62,동부본부_전년!$A:$B,2,0),0)</f>
        <v>0</v>
      </c>
      <c r="F62" s="15">
        <f>IFERROR(VLOOKUP(A62,서부본부_전년!$A:$B,2,0),0)</f>
        <v>0</v>
      </c>
    </row>
    <row r="63" spans="1:6" collapsed="1" x14ac:dyDescent="0.45">
      <c r="A63" s="2" t="s">
        <v>61</v>
      </c>
      <c r="B63" s="14">
        <f>IFERROR(VLOOKUP(sum_!A63,강북본부_전년!$A:$B,2,0),0)</f>
        <v>365808980</v>
      </c>
      <c r="C63" s="14">
        <f>IFERROR(VLOOKUP(A63,강남본부_전년!$A:$B,2,0),0)</f>
        <v>321873840</v>
      </c>
      <c r="D63" s="14">
        <f>IFERROR(VLOOKUP(A63,강서본부_전년!$A:$B,2,0),0)</f>
        <v>353722790</v>
      </c>
      <c r="E63" s="14">
        <f>IFERROR(VLOOKUP(A63,동부본부_전년!$A:$B,2,0),0)</f>
        <v>458916190</v>
      </c>
      <c r="F63" s="14">
        <f>IFERROR(VLOOKUP(A63,서부본부_전년!$A:$B,2,0),0)</f>
        <v>383187660</v>
      </c>
    </row>
    <row r="64" spans="1:6" hidden="1" outlineLevel="1" x14ac:dyDescent="0.45">
      <c r="A64" s="3" t="s">
        <v>62</v>
      </c>
      <c r="B64" s="15">
        <f>IFERROR(VLOOKUP(sum_!A64,강북본부_전년!$A:$B,2,0),0)</f>
        <v>54859280</v>
      </c>
      <c r="C64" s="15">
        <f>IFERROR(VLOOKUP(A64,강남본부_전년!$A:$B,2,0),0)</f>
        <v>56033490</v>
      </c>
      <c r="D64" s="15">
        <f>IFERROR(VLOOKUP(A64,강서본부_전년!$A:$B,2,0),0)</f>
        <v>40772860</v>
      </c>
      <c r="E64" s="15">
        <f>IFERROR(VLOOKUP(A64,동부본부_전년!$A:$B,2,0),0)</f>
        <v>75622280</v>
      </c>
      <c r="F64" s="15">
        <f>IFERROR(VLOOKUP(A64,서부본부_전년!$A:$B,2,0),0)</f>
        <v>59995880</v>
      </c>
    </row>
    <row r="65" spans="1:6" hidden="1" outlineLevel="1" x14ac:dyDescent="0.45">
      <c r="A65" s="3" t="s">
        <v>63</v>
      </c>
      <c r="B65" s="15">
        <f>IFERROR(VLOOKUP(sum_!A65,강북본부_전년!$A:$B,2,0),0)</f>
        <v>0</v>
      </c>
      <c r="C65" s="15">
        <f>IFERROR(VLOOKUP(A65,강남본부_전년!$A:$B,2,0),0)</f>
        <v>0</v>
      </c>
      <c r="D65" s="15">
        <f>IFERROR(VLOOKUP(A65,강서본부_전년!$A:$B,2,0),0)</f>
        <v>0</v>
      </c>
      <c r="E65" s="15">
        <f>IFERROR(VLOOKUP(A65,동부본부_전년!$A:$B,2,0),0)</f>
        <v>0</v>
      </c>
      <c r="F65" s="15">
        <f>IFERROR(VLOOKUP(A65,서부본부_전년!$A:$B,2,0),0)</f>
        <v>0</v>
      </c>
    </row>
    <row r="66" spans="1:6" hidden="1" outlineLevel="1" x14ac:dyDescent="0.45">
      <c r="A66" s="3" t="s">
        <v>64</v>
      </c>
      <c r="B66" s="15">
        <f>IFERROR(VLOOKUP(sum_!A66,강북본부_전년!$A:$B,2,0),0)</f>
        <v>0</v>
      </c>
      <c r="C66" s="15">
        <f>IFERROR(VLOOKUP(A66,강남본부_전년!$A:$B,2,0),0)</f>
        <v>0</v>
      </c>
      <c r="D66" s="15">
        <f>IFERROR(VLOOKUP(A66,강서본부_전년!$A:$B,2,0),0)</f>
        <v>0</v>
      </c>
      <c r="E66" s="15">
        <f>IFERROR(VLOOKUP(A66,동부본부_전년!$A:$B,2,0),0)</f>
        <v>0</v>
      </c>
      <c r="F66" s="15">
        <f>IFERROR(VLOOKUP(A66,서부본부_전년!$A:$B,2,0),0)</f>
        <v>0</v>
      </c>
    </row>
    <row r="67" spans="1:6" hidden="1" outlineLevel="1" x14ac:dyDescent="0.45">
      <c r="A67" s="3" t="s">
        <v>65</v>
      </c>
      <c r="B67" s="15">
        <f>IFERROR(VLOOKUP(sum_!A67,강북본부_전년!$A:$B,2,0),0)</f>
        <v>0</v>
      </c>
      <c r="C67" s="15">
        <f>IFERROR(VLOOKUP(A67,강남본부_전년!$A:$B,2,0),0)</f>
        <v>200000</v>
      </c>
      <c r="D67" s="15">
        <f>IFERROR(VLOOKUP(A67,강서본부_전년!$A:$B,2,0),0)</f>
        <v>900000</v>
      </c>
      <c r="E67" s="15">
        <f>IFERROR(VLOOKUP(A67,동부본부_전년!$A:$B,2,0),0)</f>
        <v>0</v>
      </c>
      <c r="F67" s="15">
        <f>IFERROR(VLOOKUP(A67,서부본부_전년!$A:$B,2,0),0)</f>
        <v>0</v>
      </c>
    </row>
    <row r="68" spans="1:6" hidden="1" outlineLevel="1" x14ac:dyDescent="0.45">
      <c r="A68" s="3" t="s">
        <v>66</v>
      </c>
      <c r="B68" s="15">
        <f>IFERROR(VLOOKUP(sum_!A68,강북본부_전년!$A:$B,2,0),0)</f>
        <v>309333560</v>
      </c>
      <c r="C68" s="15">
        <f>IFERROR(VLOOKUP(A68,강남본부_전년!$A:$B,2,0),0)</f>
        <v>265140350</v>
      </c>
      <c r="D68" s="15">
        <f>IFERROR(VLOOKUP(A68,강서본부_전년!$A:$B,2,0),0)</f>
        <v>312049930</v>
      </c>
      <c r="E68" s="15">
        <f>IFERROR(VLOOKUP(A68,동부본부_전년!$A:$B,2,0),0)</f>
        <v>380893910</v>
      </c>
      <c r="F68" s="15">
        <f>IFERROR(VLOOKUP(A68,서부본부_전년!$A:$B,2,0),0)</f>
        <v>321391780</v>
      </c>
    </row>
    <row r="69" spans="1:6" hidden="1" outlineLevel="1" x14ac:dyDescent="0.45">
      <c r="A69" s="3" t="s">
        <v>67</v>
      </c>
      <c r="B69" s="15">
        <f>IFERROR(VLOOKUP(sum_!A69,강북본부_전년!$A:$B,2,0),0)</f>
        <v>1616140</v>
      </c>
      <c r="C69" s="15">
        <f>IFERROR(VLOOKUP(A69,강남본부_전년!$A:$B,2,0),0)</f>
        <v>500000</v>
      </c>
      <c r="D69" s="15">
        <f>IFERROR(VLOOKUP(A69,강서본부_전년!$A:$B,2,0),0)</f>
        <v>0</v>
      </c>
      <c r="E69" s="15">
        <f>IFERROR(VLOOKUP(A69,동부본부_전년!$A:$B,2,0),0)</f>
        <v>2400000</v>
      </c>
      <c r="F69" s="15">
        <f>IFERROR(VLOOKUP(A69,서부본부_전년!$A:$B,2,0),0)</f>
        <v>1800000</v>
      </c>
    </row>
    <row r="70" spans="1:6" collapsed="1" x14ac:dyDescent="0.45">
      <c r="A70" s="2" t="s">
        <v>68</v>
      </c>
      <c r="B70" s="14">
        <f>IFERROR(VLOOKUP(sum_!A70,강북본부_전년!$A:$B,2,0),0)</f>
        <v>0</v>
      </c>
      <c r="C70" s="14">
        <f>IFERROR(VLOOKUP(A70,강남본부_전년!$A:$B,2,0),0)</f>
        <v>0</v>
      </c>
      <c r="D70" s="14">
        <f>IFERROR(VLOOKUP(A70,강서본부_전년!$A:$B,2,0),0)</f>
        <v>0</v>
      </c>
      <c r="E70" s="14">
        <f>IFERROR(VLOOKUP(A70,동부본부_전년!$A:$B,2,0),0)</f>
        <v>0</v>
      </c>
      <c r="F70" s="14">
        <f>IFERROR(VLOOKUP(A70,서부본부_전년!$A:$B,2,0),0)</f>
        <v>0</v>
      </c>
    </row>
    <row r="71" spans="1:6" x14ac:dyDescent="0.45">
      <c r="A71" s="2" t="s">
        <v>69</v>
      </c>
      <c r="B71" s="14">
        <f>IFERROR(VLOOKUP(sum_!A71,강북본부_전년!$A:$B,2,0),0)</f>
        <v>116922688</v>
      </c>
      <c r="C71" s="14">
        <f>IFERROR(VLOOKUP(A71,강남본부_전년!$A:$B,2,0),0)</f>
        <v>102796228</v>
      </c>
      <c r="D71" s="14">
        <f>IFERROR(VLOOKUP(A71,강서본부_전년!$A:$B,2,0),0)</f>
        <v>128313617</v>
      </c>
      <c r="E71" s="14">
        <f>IFERROR(VLOOKUP(A71,동부본부_전년!$A:$B,2,0),0)</f>
        <v>150007753</v>
      </c>
      <c r="F71" s="14">
        <f>IFERROR(VLOOKUP(A71,서부본부_전년!$A:$B,2,0),0)</f>
        <v>125692468</v>
      </c>
    </row>
    <row r="72" spans="1:6" hidden="1" outlineLevel="1" x14ac:dyDescent="0.45">
      <c r="A72" s="3" t="s">
        <v>70</v>
      </c>
      <c r="B72" s="15">
        <f>IFERROR(VLOOKUP(sum_!A72,강북본부_전년!$A:$B,2,0),0)</f>
        <v>116922688</v>
      </c>
      <c r="C72" s="15">
        <f>IFERROR(VLOOKUP(A72,강남본부_전년!$A:$B,2,0),0)</f>
        <v>102796228</v>
      </c>
      <c r="D72" s="15">
        <f>IFERROR(VLOOKUP(A72,강서본부_전년!$A:$B,2,0),0)</f>
        <v>128313617</v>
      </c>
      <c r="E72" s="15">
        <f>IFERROR(VLOOKUP(A72,동부본부_전년!$A:$B,2,0),0)</f>
        <v>150007753</v>
      </c>
      <c r="F72" s="15">
        <f>IFERROR(VLOOKUP(A72,서부본부_전년!$A:$B,2,0),0)</f>
        <v>125692468</v>
      </c>
    </row>
    <row r="73" spans="1:6" collapsed="1" x14ac:dyDescent="0.45">
      <c r="A73" s="2" t="s">
        <v>71</v>
      </c>
      <c r="B73" s="14">
        <f>IFERROR(VLOOKUP(sum_!A73,강북본부_전년!$A:$B,2,0),0)</f>
        <v>17400000</v>
      </c>
      <c r="C73" s="14">
        <f>IFERROR(VLOOKUP(A73,강남본부_전년!$A:$B,2,0),0)</f>
        <v>12500000</v>
      </c>
      <c r="D73" s="14">
        <f>IFERROR(VLOOKUP(A73,강서본부_전년!$A:$B,2,0),0)</f>
        <v>21160000</v>
      </c>
      <c r="E73" s="14">
        <f>IFERROR(VLOOKUP(A73,동부본부_전년!$A:$B,2,0),0)</f>
        <v>20400000</v>
      </c>
      <c r="F73" s="14">
        <f>IFERROR(VLOOKUP(A73,서부본부_전년!$A:$B,2,0),0)</f>
        <v>12500000</v>
      </c>
    </row>
    <row r="74" spans="1:6" ht="17.5" customHeight="1" x14ac:dyDescent="0.45">
      <c r="A74" s="2" t="s">
        <v>72</v>
      </c>
      <c r="B74" s="14">
        <f>IFERROR(VLOOKUP(sum_!A74,강북본부_전년!$A:$B,2,0),0)</f>
        <v>326875641</v>
      </c>
      <c r="C74" s="14">
        <f>IFERROR(VLOOKUP(A74,강남본부_전년!$A:$B,2,0),0)</f>
        <v>312425129</v>
      </c>
      <c r="D74" s="14">
        <f>IFERROR(VLOOKUP(A74,강서본부_전년!$A:$B,2,0),0)</f>
        <v>429019319</v>
      </c>
      <c r="E74" s="14">
        <f>IFERROR(VLOOKUP(A74,동부본부_전년!$A:$B,2,0),0)</f>
        <v>431767539</v>
      </c>
      <c r="F74" s="14">
        <f>IFERROR(VLOOKUP(A74,서부본부_전년!$A:$B,2,0),0)</f>
        <v>361410566</v>
      </c>
    </row>
    <row r="75" spans="1:6" hidden="1" outlineLevel="1" x14ac:dyDescent="0.45">
      <c r="A75" s="3" t="s">
        <v>73</v>
      </c>
      <c r="B75" s="15">
        <f>IFERROR(VLOOKUP(sum_!A75,강북본부_전년!$A:$B,2,0),0)</f>
        <v>0</v>
      </c>
      <c r="C75" s="15">
        <f>IFERROR(VLOOKUP(A75,강남본부_전년!$A:$B,2,0),0)</f>
        <v>0</v>
      </c>
      <c r="D75" s="15">
        <f>IFERROR(VLOOKUP(A75,강서본부_전년!$A:$B,2,0),0)</f>
        <v>0</v>
      </c>
      <c r="E75" s="15">
        <f>IFERROR(VLOOKUP(A75,동부본부_전년!$A:$B,2,0),0)</f>
        <v>0</v>
      </c>
      <c r="F75" s="15">
        <f>IFERROR(VLOOKUP(A75,서부본부_전년!$A:$B,2,0),0)</f>
        <v>0</v>
      </c>
    </row>
    <row r="76" spans="1:6" hidden="1" outlineLevel="1" x14ac:dyDescent="0.45">
      <c r="A76" s="3" t="s">
        <v>74</v>
      </c>
      <c r="B76" s="15">
        <f>IFERROR(VLOOKUP(sum_!A76,강북본부_전년!$A:$B,2,0),0)</f>
        <v>9920084</v>
      </c>
      <c r="C76" s="15">
        <f>IFERROR(VLOOKUP(A76,강남본부_전년!$A:$B,2,0),0)</f>
        <v>8461188</v>
      </c>
      <c r="D76" s="15">
        <f>IFERROR(VLOOKUP(A76,강서본부_전년!$A:$B,2,0),0)</f>
        <v>10196110</v>
      </c>
      <c r="E76" s="15">
        <f>IFERROR(VLOOKUP(A76,동부본부_전년!$A:$B,2,0),0)</f>
        <v>12408839</v>
      </c>
      <c r="F76" s="15">
        <f>IFERROR(VLOOKUP(A76,서부본부_전년!$A:$B,2,0),0)</f>
        <v>10836502</v>
      </c>
    </row>
    <row r="77" spans="1:6" hidden="1" outlineLevel="1" x14ac:dyDescent="0.45">
      <c r="A77" s="3" t="s">
        <v>75</v>
      </c>
      <c r="B77" s="15">
        <f>IFERROR(VLOOKUP(sum_!A77,강북본부_전년!$A:$B,2,0),0)</f>
        <v>54772930</v>
      </c>
      <c r="C77" s="15">
        <f>IFERROR(VLOOKUP(A77,강남본부_전년!$A:$B,2,0),0)</f>
        <v>48155330</v>
      </c>
      <c r="D77" s="15">
        <f>IFERROR(VLOOKUP(A77,강서본부_전년!$A:$B,2,0),0)</f>
        <v>60109060</v>
      </c>
      <c r="E77" s="15">
        <f>IFERROR(VLOOKUP(A77,동부본부_전년!$A:$B,2,0),0)</f>
        <v>70271770</v>
      </c>
      <c r="F77" s="15">
        <f>IFERROR(VLOOKUP(A77,서부본부_전년!$A:$B,2,0),0)</f>
        <v>58881170</v>
      </c>
    </row>
    <row r="78" spans="1:6" hidden="1" outlineLevel="1" x14ac:dyDescent="0.45">
      <c r="A78" s="3" t="s">
        <v>76</v>
      </c>
      <c r="B78" s="15">
        <f>IFERROR(VLOOKUP(sum_!A78,강북본부_전년!$A:$B,2,0),0)</f>
        <v>53248650</v>
      </c>
      <c r="C78" s="15">
        <f>IFERROR(VLOOKUP(A78,강남본부_전년!$A:$B,2,0),0)</f>
        <v>47916830</v>
      </c>
      <c r="D78" s="15">
        <f>IFERROR(VLOOKUP(A78,강서본부_전년!$A:$B,2,0),0)</f>
        <v>56241600</v>
      </c>
      <c r="E78" s="15">
        <f>IFERROR(VLOOKUP(A78,동부본부_전년!$A:$B,2,0),0)</f>
        <v>68027780</v>
      </c>
      <c r="F78" s="15">
        <f>IFERROR(VLOOKUP(A78,서부본부_전년!$A:$B,2,0),0)</f>
        <v>57966070</v>
      </c>
    </row>
    <row r="79" spans="1:6" hidden="1" outlineLevel="1" x14ac:dyDescent="0.45">
      <c r="A79" s="3" t="s">
        <v>77</v>
      </c>
      <c r="B79" s="15">
        <f>IFERROR(VLOOKUP(sum_!A79,강북본부_전년!$A:$B,2,0),0)</f>
        <v>20081738</v>
      </c>
      <c r="C79" s="15">
        <f>IFERROR(VLOOKUP(A79,강남본부_전년!$A:$B,2,0),0)</f>
        <v>17128417</v>
      </c>
      <c r="D79" s="15">
        <f>IFERROR(VLOOKUP(A79,강서본부_전년!$A:$B,2,0),0)</f>
        <v>20640512</v>
      </c>
      <c r="E79" s="15">
        <f>IFERROR(VLOOKUP(A79,동부본부_전년!$A:$B,2,0),0)</f>
        <v>25119852</v>
      </c>
      <c r="F79" s="15">
        <f>IFERROR(VLOOKUP(A79,서부본부_전년!$A:$B,2,0),0)</f>
        <v>21936895</v>
      </c>
    </row>
    <row r="80" spans="1:6" hidden="1" outlineLevel="1" x14ac:dyDescent="0.45">
      <c r="A80" s="3" t="s">
        <v>78</v>
      </c>
      <c r="B80" s="15">
        <f>IFERROR(VLOOKUP(sum_!A80,강북본부_전년!$A:$B,2,0),0)</f>
        <v>0</v>
      </c>
      <c r="C80" s="15">
        <f>IFERROR(VLOOKUP(A80,강남본부_전년!$A:$B,2,0),0)</f>
        <v>0</v>
      </c>
      <c r="D80" s="15">
        <f>IFERROR(VLOOKUP(A80,강서본부_전년!$A:$B,2,0),0)</f>
        <v>0</v>
      </c>
      <c r="E80" s="15">
        <f>IFERROR(VLOOKUP(A80,동부본부_전년!$A:$B,2,0),0)</f>
        <v>0</v>
      </c>
      <c r="F80" s="15">
        <f>IFERROR(VLOOKUP(A80,서부본부_전년!$A:$B,2,0),0)</f>
        <v>0</v>
      </c>
    </row>
    <row r="81" spans="1:6" hidden="1" outlineLevel="1" x14ac:dyDescent="0.45">
      <c r="A81" s="4" t="s">
        <v>79</v>
      </c>
      <c r="B81" s="16">
        <f>IFERROR(VLOOKUP(sum_!A81,강북본부_전년!$A:$B,2,0),0)</f>
        <v>82877309</v>
      </c>
      <c r="C81" s="16">
        <f>IFERROR(VLOOKUP(A81,강남본부_전년!$A:$B,2,0),0)</f>
        <v>82976214</v>
      </c>
      <c r="D81" s="16">
        <f>IFERROR(VLOOKUP(A81,강서본부_전년!$A:$B,2,0),0)</f>
        <v>160478413</v>
      </c>
      <c r="E81" s="16">
        <f>IFERROR(VLOOKUP(A81,동부본부_전년!$A:$B,2,0),0)</f>
        <v>117510045</v>
      </c>
      <c r="F81" s="16">
        <f>IFERROR(VLOOKUP(A81,서부본부_전년!$A:$B,2,0),0)</f>
        <v>97069897</v>
      </c>
    </row>
    <row r="82" spans="1:6" hidden="1" outlineLevel="1" x14ac:dyDescent="0.45">
      <c r="A82" s="3" t="s">
        <v>80</v>
      </c>
      <c r="B82" s="15">
        <f>IFERROR(VLOOKUP(sum_!A82,강북본부_전년!$A:$B,2,0),0)</f>
        <v>6550000</v>
      </c>
      <c r="C82" s="15">
        <f>IFERROR(VLOOKUP(A82,강남본부_전년!$A:$B,2,0),0)</f>
        <v>2400000</v>
      </c>
      <c r="D82" s="15">
        <f>IFERROR(VLOOKUP(A82,강서본부_전년!$A:$B,2,0),0)</f>
        <v>3400000</v>
      </c>
      <c r="E82" s="15">
        <f>IFERROR(VLOOKUP(A82,동부본부_전년!$A:$B,2,0),0)</f>
        <v>3500000</v>
      </c>
      <c r="F82" s="15">
        <f>IFERROR(VLOOKUP(A82,서부본부_전년!$A:$B,2,0),0)</f>
        <v>5220000</v>
      </c>
    </row>
    <row r="83" spans="1:6" hidden="1" outlineLevel="1" x14ac:dyDescent="0.45">
      <c r="A83" s="3" t="s">
        <v>81</v>
      </c>
      <c r="B83" s="15">
        <f>IFERROR(VLOOKUP(sum_!A83,강북본부_전년!$A:$B,2,0),0)</f>
        <v>121000</v>
      </c>
      <c r="C83" s="15">
        <f>IFERROR(VLOOKUP(A83,강남본부_전년!$A:$B,2,0),0)</f>
        <v>33000</v>
      </c>
      <c r="D83" s="15">
        <f>IFERROR(VLOOKUP(A83,강서본부_전년!$A:$B,2,0),0)</f>
        <v>49500</v>
      </c>
      <c r="E83" s="15">
        <f>IFERROR(VLOOKUP(A83,동부본부_전년!$A:$B,2,0),0)</f>
        <v>0</v>
      </c>
      <c r="F83" s="15">
        <f>IFERROR(VLOOKUP(A83,서부본부_전년!$A:$B,2,0),0)</f>
        <v>0</v>
      </c>
    </row>
    <row r="84" spans="1:6" hidden="1" outlineLevel="1" x14ac:dyDescent="0.45">
      <c r="A84" s="3" t="s">
        <v>82</v>
      </c>
      <c r="B84" s="15">
        <f>IFERROR(VLOOKUP(sum_!A84,강북본부_전년!$A:$B,2,0),0)</f>
        <v>1681291</v>
      </c>
      <c r="C84" s="15">
        <f>IFERROR(VLOOKUP(A84,강남본부_전년!$A:$B,2,0),0)</f>
        <v>1332879</v>
      </c>
      <c r="D84" s="15">
        <f>IFERROR(VLOOKUP(A84,강서본부_전년!$A:$B,2,0),0)</f>
        <v>1355067</v>
      </c>
      <c r="E84" s="15">
        <f>IFERROR(VLOOKUP(A84,동부본부_전년!$A:$B,2,0),0)</f>
        <v>2258837</v>
      </c>
      <c r="F84" s="15">
        <f>IFERROR(VLOOKUP(A84,서부본부_전년!$A:$B,2,0),0)</f>
        <v>1883363</v>
      </c>
    </row>
    <row r="85" spans="1:6" hidden="1" outlineLevel="1" x14ac:dyDescent="0.45">
      <c r="A85" s="3" t="s">
        <v>83</v>
      </c>
      <c r="B85" s="15">
        <f>IFERROR(VLOOKUP(sum_!A85,강북본부_전년!$A:$B,2,0),0)</f>
        <v>4150000</v>
      </c>
      <c r="C85" s="15">
        <f>IFERROR(VLOOKUP(A85,강남본부_전년!$A:$B,2,0),0)</f>
        <v>0</v>
      </c>
      <c r="D85" s="15">
        <f>IFERROR(VLOOKUP(A85,강서본부_전년!$A:$B,2,0),0)</f>
        <v>4800000</v>
      </c>
      <c r="E85" s="15">
        <f>IFERROR(VLOOKUP(A85,동부본부_전년!$A:$B,2,0),0)</f>
        <v>7500000</v>
      </c>
      <c r="F85" s="15">
        <f>IFERROR(VLOOKUP(A85,서부본부_전년!$A:$B,2,0),0)</f>
        <v>0</v>
      </c>
    </row>
    <row r="86" spans="1:6" hidden="1" outlineLevel="1" x14ac:dyDescent="0.45">
      <c r="A86" s="3" t="s">
        <v>84</v>
      </c>
      <c r="B86" s="15">
        <f>IFERROR(VLOOKUP(sum_!A86,강북본부_전년!$A:$B,2,0),0)</f>
        <v>0</v>
      </c>
      <c r="C86" s="15">
        <f>IFERROR(VLOOKUP(A86,강남본부_전년!$A:$B,2,0),0)</f>
        <v>0</v>
      </c>
      <c r="D86" s="15">
        <f>IFERROR(VLOOKUP(A86,강서본부_전년!$A:$B,2,0),0)</f>
        <v>0</v>
      </c>
      <c r="E86" s="15">
        <f>IFERROR(VLOOKUP(A86,동부본부_전년!$A:$B,2,0),0)</f>
        <v>0</v>
      </c>
      <c r="F86" s="15">
        <f>IFERROR(VLOOKUP(A86,서부본부_전년!$A:$B,2,0),0)</f>
        <v>0</v>
      </c>
    </row>
    <row r="87" spans="1:6" hidden="1" outlineLevel="1" x14ac:dyDescent="0.45">
      <c r="A87" s="3" t="s">
        <v>85</v>
      </c>
      <c r="B87" s="15">
        <f>IFERROR(VLOOKUP(sum_!A87,강북본부_전년!$A:$B,2,0),0)</f>
        <v>0</v>
      </c>
      <c r="C87" s="15">
        <f>IFERROR(VLOOKUP(A87,강남본부_전년!$A:$B,2,0),0)</f>
        <v>0</v>
      </c>
      <c r="D87" s="15">
        <f>IFERROR(VLOOKUP(A87,강서본부_전년!$A:$B,2,0),0)</f>
        <v>0</v>
      </c>
      <c r="E87" s="15">
        <f>IFERROR(VLOOKUP(A87,동부본부_전년!$A:$B,2,0),0)</f>
        <v>0</v>
      </c>
      <c r="F87" s="15">
        <f>IFERROR(VLOOKUP(A87,서부본부_전년!$A:$B,2,0),0)</f>
        <v>0</v>
      </c>
    </row>
    <row r="88" spans="1:6" hidden="1" outlineLevel="1" x14ac:dyDescent="0.45">
      <c r="A88" s="3" t="s">
        <v>86</v>
      </c>
      <c r="B88" s="15">
        <f>IFERROR(VLOOKUP(sum_!A88,강북본부_전년!$A:$B,2,0),0)</f>
        <v>0</v>
      </c>
      <c r="C88" s="15">
        <f>IFERROR(VLOOKUP(A88,강남본부_전년!$A:$B,2,0),0)</f>
        <v>0</v>
      </c>
      <c r="D88" s="15">
        <f>IFERROR(VLOOKUP(A88,강서본부_전년!$A:$B,2,0),0)</f>
        <v>0</v>
      </c>
      <c r="E88" s="15">
        <f>IFERROR(VLOOKUP(A88,동부본부_전년!$A:$B,2,0),0)</f>
        <v>0</v>
      </c>
      <c r="F88" s="15">
        <f>IFERROR(VLOOKUP(A88,서부본부_전년!$A:$B,2,0),0)</f>
        <v>0</v>
      </c>
    </row>
    <row r="89" spans="1:6" hidden="1" outlineLevel="1" x14ac:dyDescent="0.45">
      <c r="A89" s="3" t="s">
        <v>87</v>
      </c>
      <c r="B89" s="15">
        <f>IFERROR(VLOOKUP(sum_!A89,강북본부_전년!$A:$B,2,0),0)</f>
        <v>0</v>
      </c>
      <c r="C89" s="15">
        <f>IFERROR(VLOOKUP(A89,강남본부_전년!$A:$B,2,0),0)</f>
        <v>0</v>
      </c>
      <c r="D89" s="15">
        <f>IFERROR(VLOOKUP(A89,강서본부_전년!$A:$B,2,0),0)</f>
        <v>0</v>
      </c>
      <c r="E89" s="15">
        <f>IFERROR(VLOOKUP(A89,동부본부_전년!$A:$B,2,0),0)</f>
        <v>0</v>
      </c>
      <c r="F89" s="15">
        <f>IFERROR(VLOOKUP(A89,서부본부_전년!$A:$B,2,0),0)</f>
        <v>0</v>
      </c>
    </row>
    <row r="90" spans="1:6" hidden="1" outlineLevel="1" x14ac:dyDescent="0.45">
      <c r="A90" s="3" t="s">
        <v>88</v>
      </c>
      <c r="B90" s="15">
        <f>IFERROR(VLOOKUP(sum_!A90,강북본부_전년!$A:$B,2,0),0)</f>
        <v>0</v>
      </c>
      <c r="C90" s="15">
        <f>IFERROR(VLOOKUP(A90,강남본부_전년!$A:$B,2,0),0)</f>
        <v>0</v>
      </c>
      <c r="D90" s="15">
        <f>IFERROR(VLOOKUP(A90,강서본부_전년!$A:$B,2,0),0)</f>
        <v>0</v>
      </c>
      <c r="E90" s="15">
        <f>IFERROR(VLOOKUP(A90,동부본부_전년!$A:$B,2,0),0)</f>
        <v>0</v>
      </c>
      <c r="F90" s="15">
        <f>IFERROR(VLOOKUP(A90,서부본부_전년!$A:$B,2,0),0)</f>
        <v>0</v>
      </c>
    </row>
    <row r="91" spans="1:6" hidden="1" outlineLevel="1" x14ac:dyDescent="0.45">
      <c r="A91" s="3" t="s">
        <v>89</v>
      </c>
      <c r="B91" s="15">
        <f>IFERROR(VLOOKUP(sum_!A91,강북본부_전년!$A:$B,2,0),0)</f>
        <v>0</v>
      </c>
      <c r="C91" s="15">
        <f>IFERROR(VLOOKUP(A91,강남본부_전년!$A:$B,2,0),0)</f>
        <v>0</v>
      </c>
      <c r="D91" s="15">
        <f>IFERROR(VLOOKUP(A91,강서본부_전년!$A:$B,2,0),0)</f>
        <v>0</v>
      </c>
      <c r="E91" s="15">
        <f>IFERROR(VLOOKUP(A91,동부본부_전년!$A:$B,2,0),0)</f>
        <v>0</v>
      </c>
      <c r="F91" s="15">
        <f>IFERROR(VLOOKUP(A91,서부본부_전년!$A:$B,2,0),0)</f>
        <v>0</v>
      </c>
    </row>
    <row r="92" spans="1:6" hidden="1" outlineLevel="1" x14ac:dyDescent="0.45">
      <c r="A92" s="6" t="s">
        <v>90</v>
      </c>
      <c r="B92" s="18">
        <f>IFERROR(VLOOKUP(sum_!A92,강북본부_전년!$A:$B,2,0),0)</f>
        <v>0</v>
      </c>
      <c r="C92" s="18">
        <f>IFERROR(VLOOKUP(A92,강남본부_전년!$A:$B,2,0),0)</f>
        <v>0</v>
      </c>
      <c r="D92" s="18">
        <f>IFERROR(VLOOKUP(A92,강서본부_전년!$A:$B,2,0),0)</f>
        <v>0</v>
      </c>
      <c r="E92" s="18">
        <f>IFERROR(VLOOKUP(A92,동부본부_전년!$A:$B,2,0),0)</f>
        <v>0</v>
      </c>
      <c r="F92" s="18">
        <f>IFERROR(VLOOKUP(A92,서부본부_전년!$A:$B,2,0),0)</f>
        <v>0</v>
      </c>
    </row>
    <row r="93" spans="1:6" hidden="1" outlineLevel="1" x14ac:dyDescent="0.45">
      <c r="A93" s="3" t="s">
        <v>91</v>
      </c>
      <c r="B93" s="15">
        <f>IFERROR(VLOOKUP(sum_!A93,강북본부_전년!$A:$B,2,0),0)</f>
        <v>0</v>
      </c>
      <c r="C93" s="15">
        <f>IFERROR(VLOOKUP(A93,강남본부_전년!$A:$B,2,0),0)</f>
        <v>0</v>
      </c>
      <c r="D93" s="15">
        <f>IFERROR(VLOOKUP(A93,강서본부_전년!$A:$B,2,0),0)</f>
        <v>0</v>
      </c>
      <c r="E93" s="15">
        <f>IFERROR(VLOOKUP(A93,동부본부_전년!$A:$B,2,0),0)</f>
        <v>0</v>
      </c>
      <c r="F93" s="15">
        <f>IFERROR(VLOOKUP(A93,서부본부_전년!$A:$B,2,0),0)</f>
        <v>0</v>
      </c>
    </row>
    <row r="94" spans="1:6" hidden="1" outlineLevel="1" x14ac:dyDescent="0.45">
      <c r="A94" s="6" t="s">
        <v>92</v>
      </c>
      <c r="B94" s="18">
        <f>IFERROR(VLOOKUP(sum_!A94,강북본부_전년!$A:$B,2,0),0)</f>
        <v>0</v>
      </c>
      <c r="C94" s="18">
        <f>IFERROR(VLOOKUP(A94,강남본부_전년!$A:$B,2,0),0)</f>
        <v>0</v>
      </c>
      <c r="D94" s="18">
        <f>IFERROR(VLOOKUP(A94,강서본부_전년!$A:$B,2,0),0)</f>
        <v>0</v>
      </c>
      <c r="E94" s="18">
        <f>IFERROR(VLOOKUP(A94,동부본부_전년!$A:$B,2,0),0)</f>
        <v>0</v>
      </c>
      <c r="F94" s="18">
        <f>IFERROR(VLOOKUP(A94,서부본부_전년!$A:$B,2,0),0)</f>
        <v>0</v>
      </c>
    </row>
    <row r="95" spans="1:6" hidden="1" outlineLevel="1" x14ac:dyDescent="0.45">
      <c r="A95" s="3" t="s">
        <v>93</v>
      </c>
      <c r="B95" s="15">
        <f>IFERROR(VLOOKUP(sum_!A95,강북본부_전년!$A:$B,2,0),0)</f>
        <v>0</v>
      </c>
      <c r="C95" s="15">
        <f>IFERROR(VLOOKUP(A95,강남본부_전년!$A:$B,2,0),0)</f>
        <v>0</v>
      </c>
      <c r="D95" s="15">
        <f>IFERROR(VLOOKUP(A95,강서본부_전년!$A:$B,2,0),0)</f>
        <v>0</v>
      </c>
      <c r="E95" s="15">
        <f>IFERROR(VLOOKUP(A95,동부본부_전년!$A:$B,2,0),0)</f>
        <v>0</v>
      </c>
      <c r="F95" s="15">
        <f>IFERROR(VLOOKUP(A95,서부본부_전년!$A:$B,2,0),0)</f>
        <v>0</v>
      </c>
    </row>
    <row r="96" spans="1:6" hidden="1" outlineLevel="1" x14ac:dyDescent="0.45">
      <c r="A96" s="6" t="s">
        <v>94</v>
      </c>
      <c r="B96" s="18">
        <f>IFERROR(VLOOKUP(sum_!A96,강북본부_전년!$A:$B,2,0),0)</f>
        <v>0</v>
      </c>
      <c r="C96" s="18">
        <f>IFERROR(VLOOKUP(A96,강남본부_전년!$A:$B,2,0),0)</f>
        <v>0</v>
      </c>
      <c r="D96" s="18">
        <f>IFERROR(VLOOKUP(A96,강서본부_전년!$A:$B,2,0),0)</f>
        <v>0</v>
      </c>
      <c r="E96" s="18">
        <f>IFERROR(VLOOKUP(A96,동부본부_전년!$A:$B,2,0),0)</f>
        <v>0</v>
      </c>
      <c r="F96" s="18">
        <f>IFERROR(VLOOKUP(A96,서부본부_전년!$A:$B,2,0),0)</f>
        <v>0</v>
      </c>
    </row>
    <row r="97" spans="1:6" hidden="1" outlineLevel="1" x14ac:dyDescent="0.45">
      <c r="A97" s="3" t="s">
        <v>95</v>
      </c>
      <c r="B97" s="15">
        <f>IFERROR(VLOOKUP(sum_!A97,강북본부_전년!$A:$B,2,0),0)</f>
        <v>0</v>
      </c>
      <c r="C97" s="15">
        <f>IFERROR(VLOOKUP(A97,강남본부_전년!$A:$B,2,0),0)</f>
        <v>0</v>
      </c>
      <c r="D97" s="15">
        <f>IFERROR(VLOOKUP(A97,강서본부_전년!$A:$B,2,0),0)</f>
        <v>0</v>
      </c>
      <c r="E97" s="15">
        <f>IFERROR(VLOOKUP(A97,동부본부_전년!$A:$B,2,0),0)</f>
        <v>0</v>
      </c>
      <c r="F97" s="15">
        <f>IFERROR(VLOOKUP(A97,서부본부_전년!$A:$B,2,0),0)</f>
        <v>0</v>
      </c>
    </row>
    <row r="98" spans="1:6" hidden="1" outlineLevel="1" x14ac:dyDescent="0.45">
      <c r="A98" s="3" t="s">
        <v>96</v>
      </c>
      <c r="B98" s="15">
        <f>IFERROR(VLOOKUP(sum_!A98,강북본부_전년!$A:$B,2,0),0)</f>
        <v>0</v>
      </c>
      <c r="C98" s="15">
        <f>IFERROR(VLOOKUP(A98,강남본부_전년!$A:$B,2,0),0)</f>
        <v>0</v>
      </c>
      <c r="D98" s="15">
        <f>IFERROR(VLOOKUP(A98,강서본부_전년!$A:$B,2,0),0)</f>
        <v>0</v>
      </c>
      <c r="E98" s="15">
        <f>IFERROR(VLOOKUP(A98,동부본부_전년!$A:$B,2,0),0)</f>
        <v>0</v>
      </c>
      <c r="F98" s="15">
        <f>IFERROR(VLOOKUP(A98,서부본부_전년!$A:$B,2,0),0)</f>
        <v>0</v>
      </c>
    </row>
    <row r="99" spans="1:6" hidden="1" outlineLevel="1" x14ac:dyDescent="0.45">
      <c r="A99" s="6" t="s">
        <v>97</v>
      </c>
      <c r="B99" s="18">
        <f>IFERROR(VLOOKUP(sum_!A99,강북본부_전년!$A:$B,2,0),0)</f>
        <v>0</v>
      </c>
      <c r="C99" s="18">
        <f>IFERROR(VLOOKUP(A99,강남본부_전년!$A:$B,2,0),0)</f>
        <v>0</v>
      </c>
      <c r="D99" s="18">
        <f>IFERROR(VLOOKUP(A99,강서본부_전년!$A:$B,2,0),0)</f>
        <v>0</v>
      </c>
      <c r="E99" s="18">
        <f>IFERROR(VLOOKUP(A99,동부본부_전년!$A:$B,2,0),0)</f>
        <v>0</v>
      </c>
      <c r="F99" s="18">
        <f>IFERROR(VLOOKUP(A99,서부본부_전년!$A:$B,2,0),0)</f>
        <v>0</v>
      </c>
    </row>
    <row r="100" spans="1:6" hidden="1" outlineLevel="1" x14ac:dyDescent="0.45">
      <c r="A100" s="4" t="s">
        <v>98</v>
      </c>
      <c r="B100" s="16">
        <f>IFERROR(VLOOKUP(sum_!A100,강북본부_전년!$A:$B,2,0),0)</f>
        <v>0</v>
      </c>
      <c r="C100" s="16">
        <f>IFERROR(VLOOKUP(A100,강남본부_전년!$A:$B,2,0),0)</f>
        <v>0</v>
      </c>
      <c r="D100" s="16">
        <f>IFERROR(VLOOKUP(A100,강서본부_전년!$A:$B,2,0),0)</f>
        <v>0</v>
      </c>
      <c r="E100" s="16">
        <f>IFERROR(VLOOKUP(A100,동부본부_전년!$A:$B,2,0),0)</f>
        <v>0</v>
      </c>
      <c r="F100" s="16">
        <f>IFERROR(VLOOKUP(A100,서부본부_전년!$A:$B,2,0),0)</f>
        <v>0</v>
      </c>
    </row>
    <row r="101" spans="1:6" hidden="1" outlineLevel="1" x14ac:dyDescent="0.45">
      <c r="A101" s="3" t="s">
        <v>99</v>
      </c>
      <c r="B101" s="15">
        <f>IFERROR(VLOOKUP(sum_!A101,강북본부_전년!$A:$B,2,0),0)</f>
        <v>0</v>
      </c>
      <c r="C101" s="15">
        <f>IFERROR(VLOOKUP(A101,강남본부_전년!$A:$B,2,0),0)</f>
        <v>0</v>
      </c>
      <c r="D101" s="15">
        <f>IFERROR(VLOOKUP(A101,강서본부_전년!$A:$B,2,0),0)</f>
        <v>0</v>
      </c>
      <c r="E101" s="15">
        <f>IFERROR(VLOOKUP(A101,동부본부_전년!$A:$B,2,0),0)</f>
        <v>0</v>
      </c>
      <c r="F101" s="15">
        <f>IFERROR(VLOOKUP(A101,서부본부_전년!$A:$B,2,0),0)</f>
        <v>0</v>
      </c>
    </row>
    <row r="102" spans="1:6" hidden="1" outlineLevel="1" x14ac:dyDescent="0.45">
      <c r="A102" s="3" t="s">
        <v>100</v>
      </c>
      <c r="B102" s="15">
        <f>IFERROR(VLOOKUP(sum_!A102,강북본부_전년!$A:$B,2,0),0)</f>
        <v>0</v>
      </c>
      <c r="C102" s="15">
        <f>IFERROR(VLOOKUP(A102,강남본부_전년!$A:$B,2,0),0)</f>
        <v>0</v>
      </c>
      <c r="D102" s="15">
        <f>IFERROR(VLOOKUP(A102,강서본부_전년!$A:$B,2,0),0)</f>
        <v>0</v>
      </c>
      <c r="E102" s="15">
        <f>IFERROR(VLOOKUP(A102,동부본부_전년!$A:$B,2,0),0)</f>
        <v>0</v>
      </c>
      <c r="F102" s="15">
        <f>IFERROR(VLOOKUP(A102,서부본부_전년!$A:$B,2,0),0)</f>
        <v>0</v>
      </c>
    </row>
    <row r="103" spans="1:6" hidden="1" outlineLevel="1" x14ac:dyDescent="0.45">
      <c r="A103" s="3" t="s">
        <v>101</v>
      </c>
      <c r="B103" s="15">
        <f>IFERROR(VLOOKUP(sum_!A103,강북본부_전년!$A:$B,2,0),0)</f>
        <v>0</v>
      </c>
      <c r="C103" s="15">
        <f>IFERROR(VLOOKUP(A103,강남본부_전년!$A:$B,2,0),0)</f>
        <v>0</v>
      </c>
      <c r="D103" s="15">
        <f>IFERROR(VLOOKUP(A103,강서본부_전년!$A:$B,2,0),0)</f>
        <v>0</v>
      </c>
      <c r="E103" s="15">
        <f>IFERROR(VLOOKUP(A103,동부본부_전년!$A:$B,2,0),0)</f>
        <v>0</v>
      </c>
      <c r="F103" s="15">
        <f>IFERROR(VLOOKUP(A103,서부본부_전년!$A:$B,2,0),0)</f>
        <v>0</v>
      </c>
    </row>
    <row r="104" spans="1:6" hidden="1" outlineLevel="1" x14ac:dyDescent="0.45">
      <c r="A104" s="3" t="s">
        <v>102</v>
      </c>
      <c r="B104" s="15">
        <f>IFERROR(VLOOKUP(sum_!A104,강북본부_전년!$A:$B,2,0),0)</f>
        <v>0</v>
      </c>
      <c r="C104" s="15">
        <f>IFERROR(VLOOKUP(A104,강남본부_전년!$A:$B,2,0),0)</f>
        <v>0</v>
      </c>
      <c r="D104" s="15">
        <f>IFERROR(VLOOKUP(A104,강서본부_전년!$A:$B,2,0),0)</f>
        <v>0</v>
      </c>
      <c r="E104" s="15">
        <f>IFERROR(VLOOKUP(A104,동부본부_전년!$A:$B,2,0),0)</f>
        <v>0</v>
      </c>
      <c r="F104" s="15">
        <f>IFERROR(VLOOKUP(A104,서부본부_전년!$A:$B,2,0),0)</f>
        <v>0</v>
      </c>
    </row>
    <row r="105" spans="1:6" hidden="1" outlineLevel="1" x14ac:dyDescent="0.45">
      <c r="A105" s="3" t="s">
        <v>103</v>
      </c>
      <c r="B105" s="15">
        <f>IFERROR(VLOOKUP(sum_!A105,강북본부_전년!$A:$B,2,0),0)</f>
        <v>37200000</v>
      </c>
      <c r="C105" s="15">
        <f>IFERROR(VLOOKUP(A105,강남본부_전년!$A:$B,2,0),0)</f>
        <v>30500000</v>
      </c>
      <c r="D105" s="15">
        <f>IFERROR(VLOOKUP(A105,강서본부_전년!$A:$B,2,0),0)</f>
        <v>33950000</v>
      </c>
      <c r="E105" s="15">
        <f>IFERROR(VLOOKUP(A105,동부본부_전년!$A:$B,2,0),0)</f>
        <v>45000000</v>
      </c>
      <c r="F105" s="15">
        <f>IFERROR(VLOOKUP(A105,서부본부_전년!$A:$B,2,0),0)</f>
        <v>41600000</v>
      </c>
    </row>
    <row r="106" spans="1:6" hidden="1" outlineLevel="1" x14ac:dyDescent="0.45">
      <c r="A106" s="3" t="s">
        <v>104</v>
      </c>
      <c r="B106" s="15">
        <f>IFERROR(VLOOKUP(sum_!A106,강북본부_전년!$A:$B,2,0),0)</f>
        <v>0</v>
      </c>
      <c r="C106" s="15">
        <f>IFERROR(VLOOKUP(A106,강남본부_전년!$A:$B,2,0),0)</f>
        <v>0</v>
      </c>
      <c r="D106" s="15">
        <f>IFERROR(VLOOKUP(A106,강서본부_전년!$A:$B,2,0),0)</f>
        <v>0</v>
      </c>
      <c r="E106" s="15">
        <f>IFERROR(VLOOKUP(A106,동부본부_전년!$A:$B,2,0),0)</f>
        <v>0</v>
      </c>
      <c r="F106" s="15">
        <f>IFERROR(VLOOKUP(A106,서부본부_전년!$A:$B,2,0),0)</f>
        <v>0</v>
      </c>
    </row>
    <row r="107" spans="1:6" hidden="1" outlineLevel="1" x14ac:dyDescent="0.45">
      <c r="A107" s="3" t="s">
        <v>105</v>
      </c>
      <c r="B107" s="15">
        <f>IFERROR(VLOOKUP(sum_!A107,강북본부_전년!$A:$B,2,0),0)</f>
        <v>0</v>
      </c>
      <c r="C107" s="15">
        <f>IFERROR(VLOOKUP(A107,강남본부_전년!$A:$B,2,0),0)</f>
        <v>0</v>
      </c>
      <c r="D107" s="15">
        <f>IFERROR(VLOOKUP(A107,강서본부_전년!$A:$B,2,0),0)</f>
        <v>0</v>
      </c>
      <c r="E107" s="15">
        <f>IFERROR(VLOOKUP(A107,동부본부_전년!$A:$B,2,0),0)</f>
        <v>0</v>
      </c>
      <c r="F107" s="15">
        <f>IFERROR(VLOOKUP(A107,서부본부_전년!$A:$B,2,0),0)</f>
        <v>0</v>
      </c>
    </row>
    <row r="108" spans="1:6" hidden="1" outlineLevel="1" x14ac:dyDescent="0.45">
      <c r="A108" s="3" t="s">
        <v>106</v>
      </c>
      <c r="B108" s="15">
        <f>IFERROR(VLOOKUP(sum_!A108,강북본부_전년!$A:$B,2,0),0)</f>
        <v>0</v>
      </c>
      <c r="C108" s="15">
        <f>IFERROR(VLOOKUP(A108,강남본부_전년!$A:$B,2,0),0)</f>
        <v>0</v>
      </c>
      <c r="D108" s="15">
        <f>IFERROR(VLOOKUP(A108,강서본부_전년!$A:$B,2,0),0)</f>
        <v>0</v>
      </c>
      <c r="E108" s="15">
        <f>IFERROR(VLOOKUP(A108,동부본부_전년!$A:$B,2,0),0)</f>
        <v>0</v>
      </c>
      <c r="F108" s="15">
        <f>IFERROR(VLOOKUP(A108,서부본부_전년!$A:$B,2,0),0)</f>
        <v>0</v>
      </c>
    </row>
    <row r="109" spans="1:6" hidden="1" outlineLevel="1" x14ac:dyDescent="0.45">
      <c r="A109" s="5" t="s">
        <v>107</v>
      </c>
      <c r="B109" s="17">
        <f>IFERROR(VLOOKUP(sum_!A109,강북본부_전년!$A:$B,2,0),0)</f>
        <v>56272639</v>
      </c>
      <c r="C109" s="17">
        <f>IFERROR(VLOOKUP(A109,강남본부_전년!$A:$B,2,0),0)</f>
        <v>73521271</v>
      </c>
      <c r="D109" s="17">
        <f>IFERROR(VLOOKUP(A109,강서본부_전년!$A:$B,2,0),0)</f>
        <v>77799057</v>
      </c>
      <c r="E109" s="17">
        <f>IFERROR(VLOOKUP(A109,동부본부_전년!$A:$B,2,0),0)</f>
        <v>80170416</v>
      </c>
      <c r="F109" s="17">
        <f>IFERROR(VLOOKUP(A109,서부본부_전년!$A:$B,2,0),0)</f>
        <v>66016669</v>
      </c>
    </row>
    <row r="110" spans="1:6" hidden="1" outlineLevel="1" x14ac:dyDescent="0.45">
      <c r="A110" s="3" t="s">
        <v>108</v>
      </c>
      <c r="B110" s="15">
        <f>IFERROR(VLOOKUP(sum_!A110,강북본부_전년!$A:$B,2,0),0)</f>
        <v>0</v>
      </c>
      <c r="C110" s="15">
        <f>IFERROR(VLOOKUP(A110,강남본부_전년!$A:$B,2,0),0)</f>
        <v>0</v>
      </c>
      <c r="D110" s="15">
        <f>IFERROR(VLOOKUP(A110,강서본부_전년!$A:$B,2,0),0)</f>
        <v>0</v>
      </c>
      <c r="E110" s="15">
        <f>IFERROR(VLOOKUP(A110,동부본부_전년!$A:$B,2,0),0)</f>
        <v>0</v>
      </c>
      <c r="F110" s="15">
        <f>IFERROR(VLOOKUP(A110,서부본부_전년!$A:$B,2,0),0)</f>
        <v>0</v>
      </c>
    </row>
    <row r="111" spans="1:6" hidden="1" outlineLevel="1" x14ac:dyDescent="0.45">
      <c r="A111" s="3" t="s">
        <v>109</v>
      </c>
      <c r="B111" s="15">
        <f>IFERROR(VLOOKUP(sum_!A111,강북본부_전년!$A:$B,2,0),0)</f>
        <v>0</v>
      </c>
      <c r="C111" s="15">
        <f>IFERROR(VLOOKUP(A111,강남본부_전년!$A:$B,2,0),0)</f>
        <v>0</v>
      </c>
      <c r="D111" s="15">
        <f>IFERROR(VLOOKUP(A111,강서본부_전년!$A:$B,2,0),0)</f>
        <v>0</v>
      </c>
      <c r="E111" s="15">
        <f>IFERROR(VLOOKUP(A111,동부본부_전년!$A:$B,2,0),0)</f>
        <v>0</v>
      </c>
      <c r="F111" s="15">
        <f>IFERROR(VLOOKUP(A111,서부본부_전년!$A:$B,2,0),0)</f>
        <v>0</v>
      </c>
    </row>
    <row r="112" spans="1:6" hidden="1" outlineLevel="1" x14ac:dyDescent="0.45">
      <c r="A112" s="3" t="s">
        <v>110</v>
      </c>
      <c r="B112" s="15">
        <f>IFERROR(VLOOKUP(sum_!A112,강북본부_전년!$A:$B,2,0),0)</f>
        <v>0</v>
      </c>
      <c r="C112" s="15">
        <f>IFERROR(VLOOKUP(A112,강남본부_전년!$A:$B,2,0),0)</f>
        <v>0</v>
      </c>
      <c r="D112" s="15">
        <f>IFERROR(VLOOKUP(A112,강서본부_전년!$A:$B,2,0),0)</f>
        <v>0</v>
      </c>
      <c r="E112" s="15">
        <f>IFERROR(VLOOKUP(A112,동부본부_전년!$A:$B,2,0),0)</f>
        <v>0</v>
      </c>
      <c r="F112" s="15">
        <f>IFERROR(VLOOKUP(A112,서부본부_전년!$A:$B,2,0),0)</f>
        <v>0</v>
      </c>
    </row>
    <row r="113" spans="1:6" hidden="1" outlineLevel="1" x14ac:dyDescent="0.45">
      <c r="A113" s="3" t="s">
        <v>111</v>
      </c>
      <c r="B113" s="15">
        <f>IFERROR(VLOOKUP(sum_!A113,강북본부_전년!$A:$B,2,0),0)</f>
        <v>0</v>
      </c>
      <c r="C113" s="15">
        <f>IFERROR(VLOOKUP(A113,강남본부_전년!$A:$B,2,0),0)</f>
        <v>0</v>
      </c>
      <c r="D113" s="15">
        <f>IFERROR(VLOOKUP(A113,강서본부_전년!$A:$B,2,0),0)</f>
        <v>0</v>
      </c>
      <c r="E113" s="15">
        <f>IFERROR(VLOOKUP(A113,동부본부_전년!$A:$B,2,0),0)</f>
        <v>0</v>
      </c>
      <c r="F113" s="15">
        <f>IFERROR(VLOOKUP(A113,서부본부_전년!$A:$B,2,0),0)</f>
        <v>0</v>
      </c>
    </row>
    <row r="114" spans="1:6" hidden="1" outlineLevel="1" x14ac:dyDescent="0.45">
      <c r="A114" s="3" t="s">
        <v>112</v>
      </c>
      <c r="B114" s="15">
        <f>IFERROR(VLOOKUP(sum_!A114,강북본부_전년!$A:$B,2,0),0)</f>
        <v>0</v>
      </c>
      <c r="C114" s="15">
        <f>IFERROR(VLOOKUP(A114,강남본부_전년!$A:$B,2,0),0)</f>
        <v>0</v>
      </c>
      <c r="D114" s="15">
        <f>IFERROR(VLOOKUP(A114,강서본부_전년!$A:$B,2,0),0)</f>
        <v>0</v>
      </c>
      <c r="E114" s="15">
        <f>IFERROR(VLOOKUP(A114,동부본부_전년!$A:$B,2,0),0)</f>
        <v>0</v>
      </c>
      <c r="F114" s="15">
        <f>IFERROR(VLOOKUP(A114,서부본부_전년!$A:$B,2,0),0)</f>
        <v>0</v>
      </c>
    </row>
    <row r="115" spans="1:6" collapsed="1" x14ac:dyDescent="0.45">
      <c r="A115" s="2" t="s">
        <v>113</v>
      </c>
      <c r="B115" s="14">
        <f>IFERROR(VLOOKUP(sum_!A115,강북본부_전년!$A:$B,2,0),0)</f>
        <v>2752080</v>
      </c>
      <c r="C115" s="14">
        <f>IFERROR(VLOOKUP(A115,강남본부_전년!$A:$B,2,0),0)</f>
        <v>1975070</v>
      </c>
      <c r="D115" s="14">
        <f>IFERROR(VLOOKUP(A115,강서본부_전년!$A:$B,2,0),0)</f>
        <v>2439300</v>
      </c>
      <c r="E115" s="14">
        <f>IFERROR(VLOOKUP(A115,동부본부_전년!$A:$B,2,0),0)</f>
        <v>8426369</v>
      </c>
      <c r="F115" s="14">
        <f>IFERROR(VLOOKUP(A115,서부본부_전년!$A:$B,2,0),0)</f>
        <v>13155250</v>
      </c>
    </row>
    <row r="116" spans="1:6" hidden="1" outlineLevel="1" x14ac:dyDescent="0.45">
      <c r="A116" s="3" t="s">
        <v>114</v>
      </c>
      <c r="B116" s="15">
        <f>IFERROR(VLOOKUP(sum_!A116,강북본부_전년!$A:$B,2,0),0)</f>
        <v>1001400</v>
      </c>
      <c r="C116" s="15">
        <f>IFERROR(VLOOKUP(A116,강남본부_전년!$A:$B,2,0),0)</f>
        <v>167500</v>
      </c>
      <c r="D116" s="15">
        <f>IFERROR(VLOOKUP(A116,강서본부_전년!$A:$B,2,0),0)</f>
        <v>521600</v>
      </c>
      <c r="E116" s="15">
        <f>IFERROR(VLOOKUP(A116,동부본부_전년!$A:$B,2,0),0)</f>
        <v>7650369</v>
      </c>
      <c r="F116" s="15">
        <f>IFERROR(VLOOKUP(A116,서부본부_전년!$A:$B,2,0),0)</f>
        <v>11639650</v>
      </c>
    </row>
    <row r="117" spans="1:6" hidden="1" outlineLevel="1" x14ac:dyDescent="0.45">
      <c r="A117" s="3" t="s">
        <v>115</v>
      </c>
      <c r="B117" s="15">
        <f>IFERROR(VLOOKUP(sum_!A117,강북본부_전년!$A:$B,2,0),0)</f>
        <v>0</v>
      </c>
      <c r="C117" s="15">
        <f>IFERROR(VLOOKUP(A117,강남본부_전년!$A:$B,2,0),0)</f>
        <v>0</v>
      </c>
      <c r="D117" s="15">
        <f>IFERROR(VLOOKUP(A117,강서본부_전년!$A:$B,2,0),0)</f>
        <v>0</v>
      </c>
      <c r="E117" s="15">
        <f>IFERROR(VLOOKUP(A117,동부본부_전년!$A:$B,2,0),0)</f>
        <v>0</v>
      </c>
      <c r="F117" s="15">
        <f>IFERROR(VLOOKUP(A117,서부본부_전년!$A:$B,2,0),0)</f>
        <v>224600</v>
      </c>
    </row>
    <row r="118" spans="1:6" hidden="1" outlineLevel="1" x14ac:dyDescent="0.45">
      <c r="A118" s="3" t="s">
        <v>116</v>
      </c>
      <c r="B118" s="15">
        <f>IFERROR(VLOOKUP(sum_!A118,강북본부_전년!$A:$B,2,0),0)</f>
        <v>0</v>
      </c>
      <c r="C118" s="15">
        <f>IFERROR(VLOOKUP(A118,강남본부_전년!$A:$B,2,0),0)</f>
        <v>0</v>
      </c>
      <c r="D118" s="15">
        <f>IFERROR(VLOOKUP(A118,강서본부_전년!$A:$B,2,0),0)</f>
        <v>0</v>
      </c>
      <c r="E118" s="15">
        <f>IFERROR(VLOOKUP(A118,동부본부_전년!$A:$B,2,0),0)</f>
        <v>0</v>
      </c>
      <c r="F118" s="15">
        <f>IFERROR(VLOOKUP(A118,서부본부_전년!$A:$B,2,0),0)</f>
        <v>0</v>
      </c>
    </row>
    <row r="119" spans="1:6" hidden="1" outlineLevel="1" x14ac:dyDescent="0.45">
      <c r="A119" s="3" t="s">
        <v>117</v>
      </c>
      <c r="B119" s="15">
        <f>IFERROR(VLOOKUP(sum_!A119,강북본부_전년!$A:$B,2,0),0)</f>
        <v>1750680</v>
      </c>
      <c r="C119" s="15">
        <f>IFERROR(VLOOKUP(A119,강남본부_전년!$A:$B,2,0),0)</f>
        <v>1807570</v>
      </c>
      <c r="D119" s="15">
        <f>IFERROR(VLOOKUP(A119,강서본부_전년!$A:$B,2,0),0)</f>
        <v>1917700</v>
      </c>
      <c r="E119" s="15">
        <f>IFERROR(VLOOKUP(A119,동부본부_전년!$A:$B,2,0),0)</f>
        <v>776000</v>
      </c>
      <c r="F119" s="15">
        <f>IFERROR(VLOOKUP(A119,서부본부_전년!$A:$B,2,0),0)</f>
        <v>1291000</v>
      </c>
    </row>
    <row r="120" spans="1:6" hidden="1" outlineLevel="1" x14ac:dyDescent="0.45">
      <c r="A120" s="3" t="s">
        <v>118</v>
      </c>
      <c r="B120" s="15">
        <f>IFERROR(VLOOKUP(sum_!A120,강북본부_전년!$A:$B,2,0),0)</f>
        <v>0</v>
      </c>
      <c r="C120" s="15">
        <f>IFERROR(VLOOKUP(A120,강남본부_전년!$A:$B,2,0),0)</f>
        <v>0</v>
      </c>
      <c r="D120" s="15">
        <f>IFERROR(VLOOKUP(A120,강서본부_전년!$A:$B,2,0),0)</f>
        <v>0</v>
      </c>
      <c r="E120" s="15">
        <f>IFERROR(VLOOKUP(A120,동부본부_전년!$A:$B,2,0),0)</f>
        <v>0</v>
      </c>
      <c r="F120" s="15">
        <f>IFERROR(VLOOKUP(A120,서부본부_전년!$A:$B,2,0),0)</f>
        <v>0</v>
      </c>
    </row>
    <row r="121" spans="1:6" hidden="1" outlineLevel="1" x14ac:dyDescent="0.45">
      <c r="A121" s="3" t="s">
        <v>119</v>
      </c>
      <c r="B121" s="15">
        <f>IFERROR(VLOOKUP(sum_!A121,강북본부_전년!$A:$B,2,0),0)</f>
        <v>0</v>
      </c>
      <c r="C121" s="15">
        <f>IFERROR(VLOOKUP(A121,강남본부_전년!$A:$B,2,0),0)</f>
        <v>0</v>
      </c>
      <c r="D121" s="15">
        <f>IFERROR(VLOOKUP(A121,강서본부_전년!$A:$B,2,0),0)</f>
        <v>0</v>
      </c>
      <c r="E121" s="15">
        <f>IFERROR(VLOOKUP(A121,동부본부_전년!$A:$B,2,0),0)</f>
        <v>0</v>
      </c>
      <c r="F121" s="15">
        <f>IFERROR(VLOOKUP(A121,서부본부_전년!$A:$B,2,0),0)</f>
        <v>0</v>
      </c>
    </row>
    <row r="122" spans="1:6" collapsed="1" x14ac:dyDescent="0.45">
      <c r="A122" s="2" t="s">
        <v>120</v>
      </c>
      <c r="B122" s="14">
        <f>IFERROR(VLOOKUP(sum_!A122,강북본부_전년!$A:$B,2,0),0)</f>
        <v>500000</v>
      </c>
      <c r="C122" s="14">
        <f>IFERROR(VLOOKUP(A122,강남본부_전년!$A:$B,2,0),0)</f>
        <v>0</v>
      </c>
      <c r="D122" s="14">
        <f>IFERROR(VLOOKUP(A122,강서본부_전년!$A:$B,2,0),0)</f>
        <v>0</v>
      </c>
      <c r="E122" s="14">
        <f>IFERROR(VLOOKUP(A122,동부본부_전년!$A:$B,2,0),0)</f>
        <v>200000</v>
      </c>
      <c r="F122" s="14">
        <f>IFERROR(VLOOKUP(A122,서부본부_전년!$A:$B,2,0),0)</f>
        <v>0</v>
      </c>
    </row>
    <row r="123" spans="1:6" hidden="1" outlineLevel="1" x14ac:dyDescent="0.45">
      <c r="A123" s="3" t="s">
        <v>121</v>
      </c>
      <c r="B123" s="15">
        <f>IFERROR(VLOOKUP(sum_!A123,강북본부_전년!$A:$B,2,0),0)</f>
        <v>0</v>
      </c>
      <c r="C123" s="15">
        <f>IFERROR(VLOOKUP(A123,강남본부_전년!$A:$B,2,0),0)</f>
        <v>0</v>
      </c>
      <c r="D123" s="15">
        <f>IFERROR(VLOOKUP(A123,강서본부_전년!$A:$B,2,0),0)</f>
        <v>0</v>
      </c>
      <c r="E123" s="15">
        <f>IFERROR(VLOOKUP(A123,동부본부_전년!$A:$B,2,0),0)</f>
        <v>0</v>
      </c>
      <c r="F123" s="15">
        <f>IFERROR(VLOOKUP(A123,서부본부_전년!$A:$B,2,0),0)</f>
        <v>0</v>
      </c>
    </row>
    <row r="124" spans="1:6" hidden="1" outlineLevel="1" x14ac:dyDescent="0.45">
      <c r="A124" s="3" t="s">
        <v>122</v>
      </c>
      <c r="B124" s="15">
        <f>IFERROR(VLOOKUP(sum_!A124,강북본부_전년!$A:$B,2,0),0)</f>
        <v>0</v>
      </c>
      <c r="C124" s="15">
        <f>IFERROR(VLOOKUP(A124,강남본부_전년!$A:$B,2,0),0)</f>
        <v>0</v>
      </c>
      <c r="D124" s="15">
        <f>IFERROR(VLOOKUP(A124,강서본부_전년!$A:$B,2,0),0)</f>
        <v>0</v>
      </c>
      <c r="E124" s="15">
        <f>IFERROR(VLOOKUP(A124,동부본부_전년!$A:$B,2,0),0)</f>
        <v>0</v>
      </c>
      <c r="F124" s="15">
        <f>IFERROR(VLOOKUP(A124,서부본부_전년!$A:$B,2,0),0)</f>
        <v>0</v>
      </c>
    </row>
    <row r="125" spans="1:6" hidden="1" outlineLevel="1" x14ac:dyDescent="0.45">
      <c r="A125" s="3" t="s">
        <v>123</v>
      </c>
      <c r="B125" s="15">
        <f>IFERROR(VLOOKUP(sum_!A125,강북본부_전년!$A:$B,2,0),0)</f>
        <v>500000</v>
      </c>
      <c r="C125" s="15">
        <f>IFERROR(VLOOKUP(A125,강남본부_전년!$A:$B,2,0),0)</f>
        <v>0</v>
      </c>
      <c r="D125" s="15">
        <f>IFERROR(VLOOKUP(A125,강서본부_전년!$A:$B,2,0),0)</f>
        <v>0</v>
      </c>
      <c r="E125" s="15">
        <f>IFERROR(VLOOKUP(A125,동부본부_전년!$A:$B,2,0),0)</f>
        <v>200000</v>
      </c>
      <c r="F125" s="15">
        <f>IFERROR(VLOOKUP(A125,서부본부_전년!$A:$B,2,0),0)</f>
        <v>0</v>
      </c>
    </row>
    <row r="126" spans="1:6" collapsed="1" x14ac:dyDescent="0.45">
      <c r="A126" s="2" t="s">
        <v>124</v>
      </c>
      <c r="B126" s="14">
        <f>IFERROR(VLOOKUP(sum_!A126,강북본부_전년!$A:$B,2,0),0)</f>
        <v>5089761</v>
      </c>
      <c r="C126" s="14">
        <f>IFERROR(VLOOKUP(A126,강남본부_전년!$A:$B,2,0),0)</f>
        <v>3431602</v>
      </c>
      <c r="D126" s="14">
        <f>IFERROR(VLOOKUP(A126,강서본부_전년!$A:$B,2,0),0)</f>
        <v>3694772</v>
      </c>
      <c r="E126" s="14">
        <f>IFERROR(VLOOKUP(A126,동부본부_전년!$A:$B,2,0),0)</f>
        <v>5012170</v>
      </c>
      <c r="F126" s="14">
        <f>IFERROR(VLOOKUP(A126,서부본부_전년!$A:$B,2,0),0)</f>
        <v>4933052</v>
      </c>
    </row>
    <row r="127" spans="1:6" hidden="1" outlineLevel="1" x14ac:dyDescent="0.45">
      <c r="A127" s="3" t="s">
        <v>125</v>
      </c>
      <c r="B127" s="15">
        <f>IFERROR(VLOOKUP(sum_!A127,강북본부_전년!$A:$B,2,0),0)</f>
        <v>2978221</v>
      </c>
      <c r="C127" s="15">
        <f>IFERROR(VLOOKUP(A127,강남본부_전년!$A:$B,2,0),0)</f>
        <v>2216182</v>
      </c>
      <c r="D127" s="15">
        <f>IFERROR(VLOOKUP(A127,강서본부_전년!$A:$B,2,0),0)</f>
        <v>2687982</v>
      </c>
      <c r="E127" s="15">
        <f>IFERROR(VLOOKUP(A127,동부본부_전년!$A:$B,2,0),0)</f>
        <v>3997400</v>
      </c>
      <c r="F127" s="15">
        <f>IFERROR(VLOOKUP(A127,서부본부_전년!$A:$B,2,0),0)</f>
        <v>3260222</v>
      </c>
    </row>
    <row r="128" spans="1:6" hidden="1" outlineLevel="1" x14ac:dyDescent="0.45">
      <c r="A128" s="3" t="s">
        <v>126</v>
      </c>
      <c r="B128" s="15">
        <f>IFERROR(VLOOKUP(sum_!A128,강북본부_전년!$A:$B,2,0),0)</f>
        <v>0</v>
      </c>
      <c r="C128" s="15">
        <f>IFERROR(VLOOKUP(A128,강남본부_전년!$A:$B,2,0),0)</f>
        <v>0</v>
      </c>
      <c r="D128" s="15">
        <f>IFERROR(VLOOKUP(A128,강서본부_전년!$A:$B,2,0),0)</f>
        <v>0</v>
      </c>
      <c r="E128" s="15">
        <f>IFERROR(VLOOKUP(A128,동부본부_전년!$A:$B,2,0),0)</f>
        <v>0</v>
      </c>
      <c r="F128" s="15">
        <f>IFERROR(VLOOKUP(A128,서부본부_전년!$A:$B,2,0),0)</f>
        <v>0</v>
      </c>
    </row>
    <row r="129" spans="1:6" hidden="1" outlineLevel="1" x14ac:dyDescent="0.45">
      <c r="A129" s="3" t="s">
        <v>127</v>
      </c>
      <c r="B129" s="15">
        <f>IFERROR(VLOOKUP(sum_!A129,강북본부_전년!$A:$B,2,0),0)</f>
        <v>0</v>
      </c>
      <c r="C129" s="15">
        <f>IFERROR(VLOOKUP(A129,강남본부_전년!$A:$B,2,0),0)</f>
        <v>0</v>
      </c>
      <c r="D129" s="15">
        <f>IFERROR(VLOOKUP(A129,강서본부_전년!$A:$B,2,0),0)</f>
        <v>0</v>
      </c>
      <c r="E129" s="15">
        <f>IFERROR(VLOOKUP(A129,동부본부_전년!$A:$B,2,0),0)</f>
        <v>0</v>
      </c>
      <c r="F129" s="15">
        <f>IFERROR(VLOOKUP(A129,서부본부_전년!$A:$B,2,0),0)</f>
        <v>0</v>
      </c>
    </row>
    <row r="130" spans="1:6" hidden="1" outlineLevel="1" x14ac:dyDescent="0.45">
      <c r="A130" s="3" t="s">
        <v>128</v>
      </c>
      <c r="B130" s="15">
        <f>IFERROR(VLOOKUP(sum_!A130,강북본부_전년!$A:$B,2,0),0)</f>
        <v>2111540</v>
      </c>
      <c r="C130" s="15">
        <f>IFERROR(VLOOKUP(A130,강남본부_전년!$A:$B,2,0),0)</f>
        <v>1215420</v>
      </c>
      <c r="D130" s="15">
        <f>IFERROR(VLOOKUP(A130,강서본부_전년!$A:$B,2,0),0)</f>
        <v>1006790</v>
      </c>
      <c r="E130" s="15">
        <f>IFERROR(VLOOKUP(A130,동부본부_전년!$A:$B,2,0),0)</f>
        <v>1014770</v>
      </c>
      <c r="F130" s="15">
        <f>IFERROR(VLOOKUP(A130,서부본부_전년!$A:$B,2,0),0)</f>
        <v>1672830</v>
      </c>
    </row>
    <row r="131" spans="1:6" hidden="1" outlineLevel="1" x14ac:dyDescent="0.45">
      <c r="A131" s="4" t="s">
        <v>129</v>
      </c>
      <c r="B131" s="16">
        <f>IFERROR(VLOOKUP(sum_!A131,강북본부_전년!$A:$B,2,0),0)</f>
        <v>0</v>
      </c>
      <c r="C131" s="16">
        <f>IFERROR(VLOOKUP(A131,강남본부_전년!$A:$B,2,0),0)</f>
        <v>0</v>
      </c>
      <c r="D131" s="16">
        <f>IFERROR(VLOOKUP(A131,강서본부_전년!$A:$B,2,0),0)</f>
        <v>0</v>
      </c>
      <c r="E131" s="16">
        <f>IFERROR(VLOOKUP(A131,동부본부_전년!$A:$B,2,0),0)</f>
        <v>0</v>
      </c>
      <c r="F131" s="16">
        <f>IFERROR(VLOOKUP(A131,서부본부_전년!$A:$B,2,0),0)</f>
        <v>0</v>
      </c>
    </row>
    <row r="132" spans="1:6" hidden="1" outlineLevel="1" x14ac:dyDescent="0.45">
      <c r="A132" s="3" t="s">
        <v>130</v>
      </c>
      <c r="B132" s="15">
        <f>IFERROR(VLOOKUP(sum_!A132,강북본부_전년!$A:$B,2,0),0)</f>
        <v>0</v>
      </c>
      <c r="C132" s="15">
        <f>IFERROR(VLOOKUP(A132,강남본부_전년!$A:$B,2,0),0)</f>
        <v>0</v>
      </c>
      <c r="D132" s="15">
        <f>IFERROR(VLOOKUP(A132,강서본부_전년!$A:$B,2,0),0)</f>
        <v>0</v>
      </c>
      <c r="E132" s="15">
        <f>IFERROR(VLOOKUP(A132,동부본부_전년!$A:$B,2,0),0)</f>
        <v>0</v>
      </c>
      <c r="F132" s="15">
        <f>IFERROR(VLOOKUP(A132,서부본부_전년!$A:$B,2,0),0)</f>
        <v>0</v>
      </c>
    </row>
    <row r="133" spans="1:6" collapsed="1" x14ac:dyDescent="0.45">
      <c r="A133" s="2" t="s">
        <v>131</v>
      </c>
      <c r="B133" s="14">
        <f>IFERROR(VLOOKUP(sum_!A133,강북본부_전년!$A:$B,2,0),0)</f>
        <v>14888865</v>
      </c>
      <c r="C133" s="14">
        <f>IFERROR(VLOOKUP(A133,강남본부_전년!$A:$B,2,0),0)</f>
        <v>8963164</v>
      </c>
      <c r="D133" s="14">
        <f>IFERROR(VLOOKUP(A133,강서본부_전년!$A:$B,2,0),0)</f>
        <v>16174021</v>
      </c>
      <c r="E133" s="14">
        <f>IFERROR(VLOOKUP(A133,동부본부_전년!$A:$B,2,0),0)</f>
        <v>21694657</v>
      </c>
      <c r="F133" s="14">
        <f>IFERROR(VLOOKUP(A133,서부본부_전년!$A:$B,2,0),0)</f>
        <v>18734256</v>
      </c>
    </row>
    <row r="134" spans="1:6" hidden="1" outlineLevel="1" x14ac:dyDescent="0.45">
      <c r="A134" s="3" t="s">
        <v>132</v>
      </c>
      <c r="B134" s="15">
        <f>IFERROR(VLOOKUP(sum_!A134,강북본부_전년!$A:$B,2,0),0)</f>
        <v>14888865</v>
      </c>
      <c r="C134" s="15">
        <f>IFERROR(VLOOKUP(A134,강남본부_전년!$A:$B,2,0),0)</f>
        <v>8963164</v>
      </c>
      <c r="D134" s="15">
        <f>IFERROR(VLOOKUP(A134,강서본부_전년!$A:$B,2,0),0)</f>
        <v>16174021</v>
      </c>
      <c r="E134" s="15">
        <f>IFERROR(VLOOKUP(A134,동부본부_전년!$A:$B,2,0),0)</f>
        <v>21694657</v>
      </c>
      <c r="F134" s="15">
        <f>IFERROR(VLOOKUP(A134,서부본부_전년!$A:$B,2,0),0)</f>
        <v>18734256</v>
      </c>
    </row>
    <row r="135" spans="1:6" hidden="1" outlineLevel="1" x14ac:dyDescent="0.45">
      <c r="A135" s="3" t="s">
        <v>133</v>
      </c>
      <c r="B135" s="15">
        <f>IFERROR(VLOOKUP(sum_!A135,강북본부_전년!$A:$B,2,0),0)</f>
        <v>0</v>
      </c>
      <c r="C135" s="15">
        <f>IFERROR(VLOOKUP(A135,강남본부_전년!$A:$B,2,0),0)</f>
        <v>0</v>
      </c>
      <c r="D135" s="15">
        <f>IFERROR(VLOOKUP(A135,강서본부_전년!$A:$B,2,0),0)</f>
        <v>0</v>
      </c>
      <c r="E135" s="15">
        <f>IFERROR(VLOOKUP(A135,동부본부_전년!$A:$B,2,0),0)</f>
        <v>0</v>
      </c>
      <c r="F135" s="15">
        <f>IFERROR(VLOOKUP(A135,서부본부_전년!$A:$B,2,0),0)</f>
        <v>0</v>
      </c>
    </row>
    <row r="136" spans="1:6" collapsed="1" x14ac:dyDescent="0.45">
      <c r="A136" s="2" t="s">
        <v>134</v>
      </c>
      <c r="B136" s="14">
        <f>IFERROR(VLOOKUP(sum_!A136,강북본부_전년!$A:$B,2,0),0)</f>
        <v>0</v>
      </c>
      <c r="C136" s="14">
        <f>IFERROR(VLOOKUP(A136,강남본부_전년!$A:$B,2,0),0)</f>
        <v>0</v>
      </c>
      <c r="D136" s="14">
        <f>IFERROR(VLOOKUP(A136,강서본부_전년!$A:$B,2,0),0)</f>
        <v>0</v>
      </c>
      <c r="E136" s="14">
        <f>IFERROR(VLOOKUP(A136,동부본부_전년!$A:$B,2,0),0)</f>
        <v>0</v>
      </c>
      <c r="F136" s="14">
        <f>IFERROR(VLOOKUP(A136,서부본부_전년!$A:$B,2,0),0)</f>
        <v>0</v>
      </c>
    </row>
    <row r="137" spans="1:6" hidden="1" outlineLevel="1" x14ac:dyDescent="0.45">
      <c r="A137" s="3" t="s">
        <v>135</v>
      </c>
      <c r="B137" s="15">
        <f>IFERROR(VLOOKUP(sum_!A137,강북본부_전년!$A:$B,2,0),0)</f>
        <v>0</v>
      </c>
      <c r="C137" s="15">
        <f>IFERROR(VLOOKUP(A137,강남본부_전년!$A:$B,2,0),0)</f>
        <v>0</v>
      </c>
      <c r="D137" s="15">
        <f>IFERROR(VLOOKUP(A137,강서본부_전년!$A:$B,2,0),0)</f>
        <v>0</v>
      </c>
      <c r="E137" s="15">
        <f>IFERROR(VLOOKUP(A137,동부본부_전년!$A:$B,2,0),0)</f>
        <v>0</v>
      </c>
      <c r="F137" s="15">
        <f>IFERROR(VLOOKUP(A137,서부본부_전년!$A:$B,2,0),0)</f>
        <v>0</v>
      </c>
    </row>
    <row r="138" spans="1:6" hidden="1" outlineLevel="1" x14ac:dyDescent="0.45">
      <c r="A138" s="3" t="s">
        <v>136</v>
      </c>
      <c r="B138" s="15">
        <f>IFERROR(VLOOKUP(sum_!A138,강북본부_전년!$A:$B,2,0),0)</f>
        <v>0</v>
      </c>
      <c r="C138" s="15">
        <f>IFERROR(VLOOKUP(A138,강남본부_전년!$A:$B,2,0),0)</f>
        <v>0</v>
      </c>
      <c r="D138" s="15">
        <f>IFERROR(VLOOKUP(A138,강서본부_전년!$A:$B,2,0),0)</f>
        <v>0</v>
      </c>
      <c r="E138" s="15">
        <f>IFERROR(VLOOKUP(A138,동부본부_전년!$A:$B,2,0),0)</f>
        <v>0</v>
      </c>
      <c r="F138" s="15">
        <f>IFERROR(VLOOKUP(A138,서부본부_전년!$A:$B,2,0),0)</f>
        <v>0</v>
      </c>
    </row>
    <row r="139" spans="1:6" hidden="1" outlineLevel="1" x14ac:dyDescent="0.45">
      <c r="A139" s="3" t="s">
        <v>137</v>
      </c>
      <c r="B139" s="15">
        <f>IFERROR(VLOOKUP(sum_!A139,강북본부_전년!$A:$B,2,0),0)</f>
        <v>0</v>
      </c>
      <c r="C139" s="15">
        <f>IFERROR(VLOOKUP(A139,강남본부_전년!$A:$B,2,0),0)</f>
        <v>0</v>
      </c>
      <c r="D139" s="15">
        <f>IFERROR(VLOOKUP(A139,강서본부_전년!$A:$B,2,0),0)</f>
        <v>0</v>
      </c>
      <c r="E139" s="15">
        <f>IFERROR(VLOOKUP(A139,동부본부_전년!$A:$B,2,0),0)</f>
        <v>0</v>
      </c>
      <c r="F139" s="15">
        <f>IFERROR(VLOOKUP(A139,서부본부_전년!$A:$B,2,0),0)</f>
        <v>0</v>
      </c>
    </row>
    <row r="140" spans="1:6" hidden="1" outlineLevel="1" x14ac:dyDescent="0.45">
      <c r="A140" s="3" t="s">
        <v>138</v>
      </c>
      <c r="B140" s="15">
        <f>IFERROR(VLOOKUP(sum_!A140,강북본부_전년!$A:$B,2,0),0)</f>
        <v>0</v>
      </c>
      <c r="C140" s="15">
        <f>IFERROR(VLOOKUP(A140,강남본부_전년!$A:$B,2,0),0)</f>
        <v>0</v>
      </c>
      <c r="D140" s="15">
        <f>IFERROR(VLOOKUP(A140,강서본부_전년!$A:$B,2,0),0)</f>
        <v>0</v>
      </c>
      <c r="E140" s="15">
        <f>IFERROR(VLOOKUP(A140,동부본부_전년!$A:$B,2,0),0)</f>
        <v>0</v>
      </c>
      <c r="F140" s="15">
        <f>IFERROR(VLOOKUP(A140,서부본부_전년!$A:$B,2,0),0)</f>
        <v>0</v>
      </c>
    </row>
    <row r="141" spans="1:6" collapsed="1" x14ac:dyDescent="0.45">
      <c r="A141" s="2" t="s">
        <v>139</v>
      </c>
      <c r="B141" s="14">
        <f>IFERROR(VLOOKUP(sum_!A141,강북본부_전년!$A:$B,2,0),0)</f>
        <v>2902299</v>
      </c>
      <c r="C141" s="14">
        <f>IFERROR(VLOOKUP(A141,강남본부_전년!$A:$B,2,0),0)</f>
        <v>5480274</v>
      </c>
      <c r="D141" s="14">
        <f>IFERROR(VLOOKUP(A141,강서본부_전년!$A:$B,2,0),0)</f>
        <v>3359666</v>
      </c>
      <c r="E141" s="14">
        <f>IFERROR(VLOOKUP(A141,동부본부_전년!$A:$B,2,0),0)</f>
        <v>1151159</v>
      </c>
      <c r="F141" s="14">
        <f>IFERROR(VLOOKUP(A141,서부본부_전년!$A:$B,2,0),0)</f>
        <v>2245927</v>
      </c>
    </row>
    <row r="142" spans="1:6" x14ac:dyDescent="0.45">
      <c r="A142" s="2" t="s">
        <v>140</v>
      </c>
      <c r="B142" s="14">
        <f>IFERROR(VLOOKUP(sum_!A142,강북본부_전년!$A:$B,2,0),0)</f>
        <v>107921183</v>
      </c>
      <c r="C142" s="14">
        <f>IFERROR(VLOOKUP(A142,강남본부_전년!$A:$B,2,0),0)</f>
        <v>125279082</v>
      </c>
      <c r="D142" s="14">
        <f>IFERROR(VLOOKUP(A142,강서본부_전년!$A:$B,2,0),0)</f>
        <v>93253352</v>
      </c>
      <c r="E142" s="14">
        <f>IFERROR(VLOOKUP(A142,동부본부_전년!$A:$B,2,0),0)</f>
        <v>140833379</v>
      </c>
      <c r="F142" s="14">
        <f>IFERROR(VLOOKUP(A142,서부본부_전년!$A:$B,2,0),0)</f>
        <v>126518689</v>
      </c>
    </row>
    <row r="143" spans="1:6" hidden="1" outlineLevel="1" x14ac:dyDescent="0.45">
      <c r="A143" s="3" t="s">
        <v>141</v>
      </c>
      <c r="B143" s="15">
        <f>IFERROR(VLOOKUP(sum_!A143,강북본부_전년!$A:$B,2,0),0)</f>
        <v>30752000</v>
      </c>
      <c r="C143" s="15">
        <f>IFERROR(VLOOKUP(A143,강남본부_전년!$A:$B,2,0),0)</f>
        <v>23059000</v>
      </c>
      <c r="D143" s="15">
        <f>IFERROR(VLOOKUP(A143,강서본부_전년!$A:$B,2,0),0)</f>
        <v>22899000</v>
      </c>
      <c r="E143" s="15">
        <f>IFERROR(VLOOKUP(A143,동부본부_전년!$A:$B,2,0),0)</f>
        <v>53460000</v>
      </c>
      <c r="F143" s="15">
        <f>IFERROR(VLOOKUP(A143,서부본부_전년!$A:$B,2,0),0)</f>
        <v>34905000</v>
      </c>
    </row>
    <row r="144" spans="1:6" hidden="1" outlineLevel="1" x14ac:dyDescent="0.45">
      <c r="A144" s="3" t="s">
        <v>142</v>
      </c>
      <c r="B144" s="15">
        <f>IFERROR(VLOOKUP(sum_!A144,강북본부_전년!$A:$B,2,0),0)</f>
        <v>0</v>
      </c>
      <c r="C144" s="15">
        <f>IFERROR(VLOOKUP(A144,강남본부_전년!$A:$B,2,0),0)</f>
        <v>0</v>
      </c>
      <c r="D144" s="15">
        <f>IFERROR(VLOOKUP(A144,강서본부_전년!$A:$B,2,0),0)</f>
        <v>0</v>
      </c>
      <c r="E144" s="15">
        <f>IFERROR(VLOOKUP(A144,동부본부_전년!$A:$B,2,0),0)</f>
        <v>0</v>
      </c>
      <c r="F144" s="15">
        <f>IFERROR(VLOOKUP(A144,서부본부_전년!$A:$B,2,0),0)</f>
        <v>0</v>
      </c>
    </row>
    <row r="145" spans="1:6" hidden="1" outlineLevel="1" x14ac:dyDescent="0.45">
      <c r="A145" s="3" t="s">
        <v>143</v>
      </c>
      <c r="B145" s="15">
        <f>IFERROR(VLOOKUP(sum_!A145,강북본부_전년!$A:$B,2,0),0)</f>
        <v>30405420</v>
      </c>
      <c r="C145" s="15">
        <f>IFERROR(VLOOKUP(A145,강남본부_전년!$A:$B,2,0),0)</f>
        <v>48506696</v>
      </c>
      <c r="D145" s="15">
        <f>IFERROR(VLOOKUP(A145,강서본부_전년!$A:$B,2,0),0)</f>
        <v>24255700</v>
      </c>
      <c r="E145" s="15">
        <f>IFERROR(VLOOKUP(A145,동부본부_전년!$A:$B,2,0),0)</f>
        <v>51843220</v>
      </c>
      <c r="F145" s="15">
        <f>IFERROR(VLOOKUP(A145,서부본부_전년!$A:$B,2,0),0)</f>
        <v>52254166</v>
      </c>
    </row>
    <row r="146" spans="1:6" hidden="1" outlineLevel="1" x14ac:dyDescent="0.45">
      <c r="A146" s="3" t="s">
        <v>144</v>
      </c>
      <c r="B146" s="15">
        <f>IFERROR(VLOOKUP(sum_!A146,강북본부_전년!$A:$B,2,0),0)</f>
        <v>46763763</v>
      </c>
      <c r="C146" s="15">
        <f>IFERROR(VLOOKUP(A146,강남본부_전년!$A:$B,2,0),0)</f>
        <v>53713386</v>
      </c>
      <c r="D146" s="15">
        <f>IFERROR(VLOOKUP(A146,강서본부_전년!$A:$B,2,0),0)</f>
        <v>46098652</v>
      </c>
      <c r="E146" s="15">
        <f>IFERROR(VLOOKUP(A146,동부본부_전년!$A:$B,2,0),0)</f>
        <v>35530159</v>
      </c>
      <c r="F146" s="15">
        <f>IFERROR(VLOOKUP(A146,서부본부_전년!$A:$B,2,0),0)</f>
        <v>39359523</v>
      </c>
    </row>
    <row r="147" spans="1:6" hidden="1" outlineLevel="1" x14ac:dyDescent="0.45">
      <c r="A147" s="3" t="s">
        <v>145</v>
      </c>
      <c r="B147" s="15">
        <f>IFERROR(VLOOKUP(sum_!A147,강북본부_전년!$A:$B,2,0),0)</f>
        <v>0</v>
      </c>
      <c r="C147" s="15">
        <f>IFERROR(VLOOKUP(A147,강남본부_전년!$A:$B,2,0),0)</f>
        <v>0</v>
      </c>
      <c r="D147" s="15">
        <f>IFERROR(VLOOKUP(A147,강서본부_전년!$A:$B,2,0),0)</f>
        <v>0</v>
      </c>
      <c r="E147" s="15">
        <f>IFERROR(VLOOKUP(A147,동부본부_전년!$A:$B,2,0),0)</f>
        <v>0</v>
      </c>
      <c r="F147" s="15">
        <f>IFERROR(VLOOKUP(A147,서부본부_전년!$A:$B,2,0),0)</f>
        <v>0</v>
      </c>
    </row>
    <row r="148" spans="1:6" hidden="1" outlineLevel="1" x14ac:dyDescent="0.45">
      <c r="A148" s="3" t="s">
        <v>146</v>
      </c>
      <c r="B148" s="15">
        <f>IFERROR(VLOOKUP(sum_!A148,강북본부_전년!$A:$B,2,0),0)</f>
        <v>0</v>
      </c>
      <c r="C148" s="15">
        <f>IFERROR(VLOOKUP(A148,강남본부_전년!$A:$B,2,0),0)</f>
        <v>0</v>
      </c>
      <c r="D148" s="15">
        <f>IFERROR(VLOOKUP(A148,강서본부_전년!$A:$B,2,0),0)</f>
        <v>0</v>
      </c>
      <c r="E148" s="15">
        <f>IFERROR(VLOOKUP(A148,동부본부_전년!$A:$B,2,0),0)</f>
        <v>0</v>
      </c>
      <c r="F148" s="15">
        <f>IFERROR(VLOOKUP(A148,서부본부_전년!$A:$B,2,0),0)</f>
        <v>0</v>
      </c>
    </row>
    <row r="149" spans="1:6" hidden="1" outlineLevel="1" x14ac:dyDescent="0.45">
      <c r="A149" s="3" t="s">
        <v>147</v>
      </c>
      <c r="B149" s="15">
        <f>IFERROR(VLOOKUP(sum_!A149,강북본부_전년!$A:$B,2,0),0)</f>
        <v>0</v>
      </c>
      <c r="C149" s="15">
        <f>IFERROR(VLOOKUP(A149,강남본부_전년!$A:$B,2,0),0)</f>
        <v>0</v>
      </c>
      <c r="D149" s="15">
        <f>IFERROR(VLOOKUP(A149,강서본부_전년!$A:$B,2,0),0)</f>
        <v>0</v>
      </c>
      <c r="E149" s="15">
        <f>IFERROR(VLOOKUP(A149,동부본부_전년!$A:$B,2,0),0)</f>
        <v>0</v>
      </c>
      <c r="F149" s="15">
        <f>IFERROR(VLOOKUP(A149,서부본부_전년!$A:$B,2,0),0)</f>
        <v>0</v>
      </c>
    </row>
    <row r="150" spans="1:6" hidden="1" outlineLevel="1" x14ac:dyDescent="0.45">
      <c r="A150" s="3" t="s">
        <v>148</v>
      </c>
      <c r="B150" s="15">
        <f>IFERROR(VLOOKUP(sum_!A150,강북본부_전년!$A:$B,2,0),0)</f>
        <v>0</v>
      </c>
      <c r="C150" s="15">
        <f>IFERROR(VLOOKUP(A150,강남본부_전년!$A:$B,2,0),0)</f>
        <v>0</v>
      </c>
      <c r="D150" s="15">
        <f>IFERROR(VLOOKUP(A150,강서본부_전년!$A:$B,2,0),0)</f>
        <v>0</v>
      </c>
      <c r="E150" s="15">
        <f>IFERROR(VLOOKUP(A150,동부본부_전년!$A:$B,2,0),0)</f>
        <v>0</v>
      </c>
      <c r="F150" s="15">
        <f>IFERROR(VLOOKUP(A150,서부본부_전년!$A:$B,2,0),0)</f>
        <v>0</v>
      </c>
    </row>
    <row r="151" spans="1:6" collapsed="1" x14ac:dyDescent="0.45">
      <c r="A151" s="2" t="s">
        <v>149</v>
      </c>
      <c r="B151" s="14">
        <f>IFERROR(VLOOKUP(sum_!A151,강북본부_전년!$A:$B,2,0),0)</f>
        <v>0</v>
      </c>
      <c r="C151" s="14">
        <f>IFERROR(VLOOKUP(A151,강남본부_전년!$A:$B,2,0),0)</f>
        <v>0</v>
      </c>
      <c r="D151" s="14">
        <f>IFERROR(VLOOKUP(A151,강서본부_전년!$A:$B,2,0),0)</f>
        <v>0</v>
      </c>
      <c r="E151" s="14">
        <f>IFERROR(VLOOKUP(A151,동부본부_전년!$A:$B,2,0),0)</f>
        <v>0</v>
      </c>
      <c r="F151" s="14">
        <f>IFERROR(VLOOKUP(A151,서부본부_전년!$A:$B,2,0),0)</f>
        <v>0</v>
      </c>
    </row>
    <row r="152" spans="1:6" hidden="1" outlineLevel="1" x14ac:dyDescent="0.45">
      <c r="A152" s="3" t="s">
        <v>150</v>
      </c>
      <c r="B152" s="15">
        <f>IFERROR(VLOOKUP(sum_!A152,강북본부_전년!$A:$B,2,0),0)</f>
        <v>0</v>
      </c>
      <c r="C152" s="15">
        <f>IFERROR(VLOOKUP(A152,강남본부_전년!$A:$B,2,0),0)</f>
        <v>0</v>
      </c>
      <c r="D152" s="15">
        <f>IFERROR(VLOOKUP(A152,강서본부_전년!$A:$B,2,0),0)</f>
        <v>0</v>
      </c>
      <c r="E152" s="15">
        <f>IFERROR(VLOOKUP(A152,동부본부_전년!$A:$B,2,0),0)</f>
        <v>0</v>
      </c>
      <c r="F152" s="15">
        <f>IFERROR(VLOOKUP(A152,서부본부_전년!$A:$B,2,0),0)</f>
        <v>0</v>
      </c>
    </row>
    <row r="153" spans="1:6" hidden="1" outlineLevel="1" x14ac:dyDescent="0.45">
      <c r="A153" s="3" t="s">
        <v>151</v>
      </c>
      <c r="B153" s="15">
        <f>IFERROR(VLOOKUP(sum_!A153,강북본부_전년!$A:$B,2,0),0)</f>
        <v>0</v>
      </c>
      <c r="C153" s="15">
        <f>IFERROR(VLOOKUP(A153,강남본부_전년!$A:$B,2,0),0)</f>
        <v>0</v>
      </c>
      <c r="D153" s="15">
        <f>IFERROR(VLOOKUP(A153,강서본부_전년!$A:$B,2,0),0)</f>
        <v>0</v>
      </c>
      <c r="E153" s="15">
        <f>IFERROR(VLOOKUP(A153,동부본부_전년!$A:$B,2,0),0)</f>
        <v>0</v>
      </c>
      <c r="F153" s="15">
        <f>IFERROR(VLOOKUP(A153,서부본부_전년!$A:$B,2,0),0)</f>
        <v>0</v>
      </c>
    </row>
    <row r="154" spans="1:6" hidden="1" outlineLevel="1" x14ac:dyDescent="0.45">
      <c r="A154" s="3" t="s">
        <v>152</v>
      </c>
      <c r="B154" s="15">
        <f>IFERROR(VLOOKUP(sum_!A154,강북본부_전년!$A:$B,2,0),0)</f>
        <v>0</v>
      </c>
      <c r="C154" s="15">
        <f>IFERROR(VLOOKUP(A154,강남본부_전년!$A:$B,2,0),0)</f>
        <v>0</v>
      </c>
      <c r="D154" s="15">
        <f>IFERROR(VLOOKUP(A154,강서본부_전년!$A:$B,2,0),0)</f>
        <v>0</v>
      </c>
      <c r="E154" s="15">
        <f>IFERROR(VLOOKUP(A154,동부본부_전년!$A:$B,2,0),0)</f>
        <v>0</v>
      </c>
      <c r="F154" s="15">
        <f>IFERROR(VLOOKUP(A154,서부본부_전년!$A:$B,2,0),0)</f>
        <v>0</v>
      </c>
    </row>
    <row r="155" spans="1:6" hidden="1" outlineLevel="1" x14ac:dyDescent="0.45">
      <c r="A155" s="3" t="s">
        <v>153</v>
      </c>
      <c r="B155" s="15">
        <f>IFERROR(VLOOKUP(sum_!A155,강북본부_전년!$A:$B,2,0),0)</f>
        <v>0</v>
      </c>
      <c r="C155" s="15">
        <f>IFERROR(VLOOKUP(A155,강남본부_전년!$A:$B,2,0),0)</f>
        <v>0</v>
      </c>
      <c r="D155" s="15">
        <f>IFERROR(VLOOKUP(A155,강서본부_전년!$A:$B,2,0),0)</f>
        <v>0</v>
      </c>
      <c r="E155" s="15">
        <f>IFERROR(VLOOKUP(A155,동부본부_전년!$A:$B,2,0),0)</f>
        <v>0</v>
      </c>
      <c r="F155" s="15">
        <f>IFERROR(VLOOKUP(A155,서부본부_전년!$A:$B,2,0),0)</f>
        <v>0</v>
      </c>
    </row>
    <row r="156" spans="1:6" collapsed="1" x14ac:dyDescent="0.45">
      <c r="A156" s="2" t="s">
        <v>154</v>
      </c>
      <c r="B156" s="14">
        <f>IFERROR(VLOOKUP(sum_!A156,강북본부_전년!$A:$B,2,0),0)</f>
        <v>19101423</v>
      </c>
      <c r="C156" s="14">
        <f>IFERROR(VLOOKUP(A156,강남본부_전년!$A:$B,2,0),0)</f>
        <v>12141170</v>
      </c>
      <c r="D156" s="14">
        <f>IFERROR(VLOOKUP(A156,강서본부_전년!$A:$B,2,0),0)</f>
        <v>13361235</v>
      </c>
      <c r="E156" s="14">
        <f>IFERROR(VLOOKUP(A156,동부본부_전년!$A:$B,2,0),0)</f>
        <v>22373408</v>
      </c>
      <c r="F156" s="14">
        <f>IFERROR(VLOOKUP(A156,서부본부_전년!$A:$B,2,0),0)</f>
        <v>26323326</v>
      </c>
    </row>
    <row r="157" spans="1:6" hidden="1" outlineLevel="1" x14ac:dyDescent="0.45">
      <c r="A157" s="3" t="s">
        <v>155</v>
      </c>
      <c r="B157" s="15">
        <f>IFERROR(VLOOKUP(sum_!A157,강북본부_전년!$A:$B,2,0),0)</f>
        <v>4269410</v>
      </c>
      <c r="C157" s="15">
        <f>IFERROR(VLOOKUP(A157,강남본부_전년!$A:$B,2,0),0)</f>
        <v>2598550</v>
      </c>
      <c r="D157" s="15">
        <f>IFERROR(VLOOKUP(A157,강서본부_전년!$A:$B,2,0),0)</f>
        <v>3194594</v>
      </c>
      <c r="E157" s="15">
        <f>IFERROR(VLOOKUP(A157,동부본부_전년!$A:$B,2,0),0)</f>
        <v>4482488</v>
      </c>
      <c r="F157" s="15">
        <f>IFERROR(VLOOKUP(A157,서부본부_전년!$A:$B,2,0),0)</f>
        <v>6297627</v>
      </c>
    </row>
    <row r="158" spans="1:6" hidden="1" outlineLevel="1" x14ac:dyDescent="0.45">
      <c r="A158" s="3" t="s">
        <v>156</v>
      </c>
      <c r="B158" s="15">
        <f>IFERROR(VLOOKUP(sum_!A158,강북본부_전년!$A:$B,2,0),0)</f>
        <v>773000</v>
      </c>
      <c r="C158" s="15">
        <f>IFERROR(VLOOKUP(A158,강남본부_전년!$A:$B,2,0),0)</f>
        <v>551000</v>
      </c>
      <c r="D158" s="15">
        <f>IFERROR(VLOOKUP(A158,강서본부_전년!$A:$B,2,0),0)</f>
        <v>484000</v>
      </c>
      <c r="E158" s="15">
        <f>IFERROR(VLOOKUP(A158,동부본부_전년!$A:$B,2,0),0)</f>
        <v>816800</v>
      </c>
      <c r="F158" s="15">
        <f>IFERROR(VLOOKUP(A158,서부본부_전년!$A:$B,2,0),0)</f>
        <v>756000</v>
      </c>
    </row>
    <row r="159" spans="1:6" hidden="1" outlineLevel="1" x14ac:dyDescent="0.45">
      <c r="A159" s="3" t="s">
        <v>157</v>
      </c>
      <c r="B159" s="15">
        <f>IFERROR(VLOOKUP(sum_!A159,강북본부_전년!$A:$B,2,0),0)</f>
        <v>3153025</v>
      </c>
      <c r="C159" s="15">
        <f>IFERROR(VLOOKUP(A159,강남본부_전년!$A:$B,2,0),0)</f>
        <v>1331475</v>
      </c>
      <c r="D159" s="15">
        <f>IFERROR(VLOOKUP(A159,강서본부_전년!$A:$B,2,0),0)</f>
        <v>3315300</v>
      </c>
      <c r="E159" s="15">
        <f>IFERROR(VLOOKUP(A159,동부본부_전년!$A:$B,2,0),0)</f>
        <v>4216024</v>
      </c>
      <c r="F159" s="15">
        <f>IFERROR(VLOOKUP(A159,서부본부_전년!$A:$B,2,0),0)</f>
        <v>6395368</v>
      </c>
    </row>
    <row r="160" spans="1:6" hidden="1" outlineLevel="1" x14ac:dyDescent="0.45">
      <c r="A160" s="3" t="s">
        <v>158</v>
      </c>
      <c r="B160" s="15">
        <f>IFERROR(VLOOKUP(sum_!A160,강북본부_전년!$A:$B,2,0),0)</f>
        <v>10905988</v>
      </c>
      <c r="C160" s="15">
        <f>IFERROR(VLOOKUP(A160,강남본부_전년!$A:$B,2,0),0)</f>
        <v>7660145</v>
      </c>
      <c r="D160" s="15">
        <f>IFERROR(VLOOKUP(A160,강서본부_전년!$A:$B,2,0),0)</f>
        <v>6367341</v>
      </c>
      <c r="E160" s="15">
        <f>IFERROR(VLOOKUP(A160,동부본부_전년!$A:$B,2,0),0)</f>
        <v>12858096</v>
      </c>
      <c r="F160" s="15">
        <f>IFERROR(VLOOKUP(A160,서부본부_전년!$A:$B,2,0),0)</f>
        <v>12874331</v>
      </c>
    </row>
    <row r="161" spans="1:6" hidden="1" outlineLevel="1" x14ac:dyDescent="0.45">
      <c r="A161" s="3" t="s">
        <v>159</v>
      </c>
      <c r="B161" s="15">
        <f>IFERROR(VLOOKUP(sum_!A161,강북본부_전년!$A:$B,2,0),0)</f>
        <v>0</v>
      </c>
      <c r="C161" s="15">
        <f>IFERROR(VLOOKUP(A161,강남본부_전년!$A:$B,2,0),0)</f>
        <v>0</v>
      </c>
      <c r="D161" s="15">
        <f>IFERROR(VLOOKUP(A161,강서본부_전년!$A:$B,2,0),0)</f>
        <v>0</v>
      </c>
      <c r="E161" s="15">
        <f>IFERROR(VLOOKUP(A161,동부본부_전년!$A:$B,2,0),0)</f>
        <v>0</v>
      </c>
      <c r="F161" s="15">
        <f>IFERROR(VLOOKUP(A161,서부본부_전년!$A:$B,2,0),0)</f>
        <v>0</v>
      </c>
    </row>
    <row r="162" spans="1:6" hidden="1" outlineLevel="1" x14ac:dyDescent="0.45">
      <c r="A162" s="4" t="s">
        <v>160</v>
      </c>
      <c r="B162" s="16">
        <f>IFERROR(VLOOKUP(sum_!A162,강북본부_전년!$A:$B,2,0),0)</f>
        <v>0</v>
      </c>
      <c r="C162" s="16">
        <f>IFERROR(VLOOKUP(A162,강남본부_전년!$A:$B,2,0),0)</f>
        <v>0</v>
      </c>
      <c r="D162" s="16">
        <f>IFERROR(VLOOKUP(A162,강서본부_전년!$A:$B,2,0),0)</f>
        <v>0</v>
      </c>
      <c r="E162" s="16">
        <f>IFERROR(VLOOKUP(A162,동부본부_전년!$A:$B,2,0),0)</f>
        <v>0</v>
      </c>
      <c r="F162" s="16">
        <f>IFERROR(VLOOKUP(A162,서부본부_전년!$A:$B,2,0),0)</f>
        <v>0</v>
      </c>
    </row>
    <row r="163" spans="1:6" hidden="1" outlineLevel="1" x14ac:dyDescent="0.45">
      <c r="A163" s="5" t="s">
        <v>161</v>
      </c>
      <c r="B163" s="17">
        <f>IFERROR(VLOOKUP(sum_!A163,강북본부_전년!$A:$B,2,0),0)</f>
        <v>0</v>
      </c>
      <c r="C163" s="17">
        <f>IFERROR(VLOOKUP(A163,강남본부_전년!$A:$B,2,0),0)</f>
        <v>0</v>
      </c>
      <c r="D163" s="17">
        <f>IFERROR(VLOOKUP(A163,강서본부_전년!$A:$B,2,0),0)</f>
        <v>0</v>
      </c>
      <c r="E163" s="17">
        <f>IFERROR(VLOOKUP(A163,동부본부_전년!$A:$B,2,0),0)</f>
        <v>0</v>
      </c>
      <c r="F163" s="17">
        <f>IFERROR(VLOOKUP(A163,서부본부_전년!$A:$B,2,0),0)</f>
        <v>0</v>
      </c>
    </row>
    <row r="164" spans="1:6" collapsed="1" x14ac:dyDescent="0.45">
      <c r="A164" s="2" t="s">
        <v>162</v>
      </c>
      <c r="B164" s="14">
        <f>IFERROR(VLOOKUP(sum_!A164,강북본부_전년!$A:$B,2,0),0)</f>
        <v>24167500</v>
      </c>
      <c r="C164" s="14">
        <f>IFERROR(VLOOKUP(A164,강남본부_전년!$A:$B,2,0),0)</f>
        <v>28416500</v>
      </c>
      <c r="D164" s="14">
        <f>IFERROR(VLOOKUP(A164,강서본부_전년!$A:$B,2,0),0)</f>
        <v>28383500</v>
      </c>
      <c r="E164" s="14">
        <f>IFERROR(VLOOKUP(A164,동부본부_전년!$A:$B,2,0),0)</f>
        <v>33621545</v>
      </c>
      <c r="F164" s="14">
        <f>IFERROR(VLOOKUP(A164,서부본부_전년!$A:$B,2,0),0)</f>
        <v>35376100</v>
      </c>
    </row>
    <row r="165" spans="1:6" hidden="1" outlineLevel="1" x14ac:dyDescent="0.45">
      <c r="A165" s="5" t="s">
        <v>163</v>
      </c>
      <c r="B165" s="17">
        <f>IFERROR(VLOOKUP(sum_!A165,강북본부_전년!$A:$B,2,0),0)</f>
        <v>0</v>
      </c>
      <c r="C165" s="17">
        <f>IFERROR(VLOOKUP(A165,강남본부_전년!$A:$B,2,0),0)</f>
        <v>0</v>
      </c>
      <c r="D165" s="17">
        <f>IFERROR(VLOOKUP(A165,강서본부_전년!$A:$B,2,0),0)</f>
        <v>0</v>
      </c>
      <c r="E165" s="17">
        <f>IFERROR(VLOOKUP(A165,동부본부_전년!$A:$B,2,0),0)</f>
        <v>0</v>
      </c>
      <c r="F165" s="17">
        <f>IFERROR(VLOOKUP(A165,서부본부_전년!$A:$B,2,0),0)</f>
        <v>0</v>
      </c>
    </row>
    <row r="166" spans="1:6" hidden="1" outlineLevel="1" x14ac:dyDescent="0.45">
      <c r="A166" s="3" t="s">
        <v>164</v>
      </c>
      <c r="B166" s="15">
        <f>IFERROR(VLOOKUP(sum_!A166,강북본부_전년!$A:$B,2,0),0)</f>
        <v>24167500</v>
      </c>
      <c r="C166" s="15">
        <f>IFERROR(VLOOKUP(A166,강남본부_전년!$A:$B,2,0),0)</f>
        <v>28416500</v>
      </c>
      <c r="D166" s="15">
        <f>IFERROR(VLOOKUP(A166,강서본부_전년!$A:$B,2,0),0)</f>
        <v>28383500</v>
      </c>
      <c r="E166" s="15">
        <f>IFERROR(VLOOKUP(A166,동부본부_전년!$A:$B,2,0),0)</f>
        <v>33621545</v>
      </c>
      <c r="F166" s="15">
        <f>IFERROR(VLOOKUP(A166,서부본부_전년!$A:$B,2,0),0)</f>
        <v>35376100</v>
      </c>
    </row>
    <row r="167" spans="1:6" hidden="1" outlineLevel="1" x14ac:dyDescent="0.45">
      <c r="A167" s="3" t="s">
        <v>165</v>
      </c>
      <c r="B167" s="15">
        <f>IFERROR(VLOOKUP(sum_!A167,강북본부_전년!$A:$B,2,0),0)</f>
        <v>0</v>
      </c>
      <c r="C167" s="15">
        <f>IFERROR(VLOOKUP(A167,강남본부_전년!$A:$B,2,0),0)</f>
        <v>0</v>
      </c>
      <c r="D167" s="15">
        <f>IFERROR(VLOOKUP(A167,강서본부_전년!$A:$B,2,0),0)</f>
        <v>0</v>
      </c>
      <c r="E167" s="15">
        <f>IFERROR(VLOOKUP(A167,동부본부_전년!$A:$B,2,0),0)</f>
        <v>0</v>
      </c>
      <c r="F167" s="15">
        <f>IFERROR(VLOOKUP(A167,서부본부_전년!$A:$B,2,0),0)</f>
        <v>0</v>
      </c>
    </row>
    <row r="168" spans="1:6" hidden="1" outlineLevel="1" x14ac:dyDescent="0.45">
      <c r="A168" s="3" t="s">
        <v>166</v>
      </c>
      <c r="B168" s="15">
        <f>IFERROR(VLOOKUP(sum_!A168,강북본부_전년!$A:$B,2,0),0)</f>
        <v>0</v>
      </c>
      <c r="C168" s="15">
        <f>IFERROR(VLOOKUP(A168,강남본부_전년!$A:$B,2,0),0)</f>
        <v>0</v>
      </c>
      <c r="D168" s="15">
        <f>IFERROR(VLOOKUP(A168,강서본부_전년!$A:$B,2,0),0)</f>
        <v>0</v>
      </c>
      <c r="E168" s="15">
        <f>IFERROR(VLOOKUP(A168,동부본부_전년!$A:$B,2,0),0)</f>
        <v>0</v>
      </c>
      <c r="F168" s="15">
        <f>IFERROR(VLOOKUP(A168,서부본부_전년!$A:$B,2,0),0)</f>
        <v>0</v>
      </c>
    </row>
    <row r="169" spans="1:6" hidden="1" outlineLevel="1" x14ac:dyDescent="0.45">
      <c r="A169" s="3" t="s">
        <v>167</v>
      </c>
      <c r="B169" s="15">
        <f>IFERROR(VLOOKUP(sum_!A169,강북본부_전년!$A:$B,2,0),0)</f>
        <v>0</v>
      </c>
      <c r="C169" s="15">
        <f>IFERROR(VLOOKUP(A169,강남본부_전년!$A:$B,2,0),0)</f>
        <v>0</v>
      </c>
      <c r="D169" s="15">
        <f>IFERROR(VLOOKUP(A169,강서본부_전년!$A:$B,2,0),0)</f>
        <v>0</v>
      </c>
      <c r="E169" s="15">
        <f>IFERROR(VLOOKUP(A169,동부본부_전년!$A:$B,2,0),0)</f>
        <v>0</v>
      </c>
      <c r="F169" s="15">
        <f>IFERROR(VLOOKUP(A169,서부본부_전년!$A:$B,2,0),0)</f>
        <v>0</v>
      </c>
    </row>
    <row r="170" spans="1:6" hidden="1" outlineLevel="1" x14ac:dyDescent="0.45">
      <c r="A170" s="5" t="s">
        <v>168</v>
      </c>
      <c r="B170" s="17">
        <f>IFERROR(VLOOKUP(sum_!A170,강북본부_전년!$A:$B,2,0),0)</f>
        <v>0</v>
      </c>
      <c r="C170" s="17">
        <f>IFERROR(VLOOKUP(A170,강남본부_전년!$A:$B,2,0),0)</f>
        <v>0</v>
      </c>
      <c r="D170" s="17">
        <f>IFERROR(VLOOKUP(A170,강서본부_전년!$A:$B,2,0),0)</f>
        <v>0</v>
      </c>
      <c r="E170" s="17">
        <f>IFERROR(VLOOKUP(A170,동부본부_전년!$A:$B,2,0),0)</f>
        <v>0</v>
      </c>
      <c r="F170" s="17">
        <f>IFERROR(VLOOKUP(A170,서부본부_전년!$A:$B,2,0),0)</f>
        <v>0</v>
      </c>
    </row>
    <row r="171" spans="1:6" collapsed="1" x14ac:dyDescent="0.45">
      <c r="A171" s="2" t="s">
        <v>169</v>
      </c>
      <c r="B171" s="14">
        <f>IFERROR(VLOOKUP(sum_!A171,강북본부_전년!$A:$B,2,0),0)</f>
        <v>914181</v>
      </c>
      <c r="C171" s="14">
        <f>IFERROR(VLOOKUP(A171,강남본부_전년!$A:$B,2,0),0)</f>
        <v>1126545</v>
      </c>
      <c r="D171" s="14">
        <f>IFERROR(VLOOKUP(A171,강서본부_전년!$A:$B,2,0),0)</f>
        <v>1445910</v>
      </c>
      <c r="E171" s="14">
        <f>IFERROR(VLOOKUP(A171,동부본부_전년!$A:$B,2,0),0)</f>
        <v>527000</v>
      </c>
      <c r="F171" s="14">
        <f>IFERROR(VLOOKUP(A171,서부본부_전년!$A:$B,2,0),0)</f>
        <v>217091</v>
      </c>
    </row>
    <row r="172" spans="1:6" hidden="1" outlineLevel="1" x14ac:dyDescent="0.45">
      <c r="A172" s="3" t="s">
        <v>170</v>
      </c>
      <c r="B172" s="15">
        <f>IFERROR(VLOOKUP(sum_!A172,강북본부_전년!$A:$B,2,0),0)</f>
        <v>0</v>
      </c>
      <c r="C172" s="15">
        <f>IFERROR(VLOOKUP(A172,강남본부_전년!$A:$B,2,0),0)</f>
        <v>22727</v>
      </c>
      <c r="D172" s="15">
        <f>IFERROR(VLOOKUP(A172,강서본부_전년!$A:$B,2,0),0)</f>
        <v>0</v>
      </c>
      <c r="E172" s="15">
        <f>IFERROR(VLOOKUP(A172,동부본부_전년!$A:$B,2,0),0)</f>
        <v>0</v>
      </c>
      <c r="F172" s="15">
        <f>IFERROR(VLOOKUP(A172,서부본부_전년!$A:$B,2,0),0)</f>
        <v>0</v>
      </c>
    </row>
    <row r="173" spans="1:6" hidden="1" outlineLevel="1" x14ac:dyDescent="0.45">
      <c r="A173" s="3" t="s">
        <v>171</v>
      </c>
      <c r="B173" s="15">
        <f>IFERROR(VLOOKUP(sum_!A173,강북본부_전년!$A:$B,2,0),0)</f>
        <v>0</v>
      </c>
      <c r="C173" s="15">
        <f>IFERROR(VLOOKUP(A173,강남본부_전년!$A:$B,2,0),0)</f>
        <v>0</v>
      </c>
      <c r="D173" s="15">
        <f>IFERROR(VLOOKUP(A173,강서본부_전년!$A:$B,2,0),0)</f>
        <v>0</v>
      </c>
      <c r="E173" s="15">
        <f>IFERROR(VLOOKUP(A173,동부본부_전년!$A:$B,2,0),0)</f>
        <v>0</v>
      </c>
      <c r="F173" s="15">
        <f>IFERROR(VLOOKUP(A173,서부본부_전년!$A:$B,2,0),0)</f>
        <v>0</v>
      </c>
    </row>
    <row r="174" spans="1:6" hidden="1" outlineLevel="1" x14ac:dyDescent="0.45">
      <c r="A174" s="3" t="s">
        <v>172</v>
      </c>
      <c r="B174" s="15">
        <f>IFERROR(VLOOKUP(sum_!A174,강북본부_전년!$A:$B,2,0),0)</f>
        <v>914181</v>
      </c>
      <c r="C174" s="15">
        <f>IFERROR(VLOOKUP(A174,강남본부_전년!$A:$B,2,0),0)</f>
        <v>1103818</v>
      </c>
      <c r="D174" s="15">
        <f>IFERROR(VLOOKUP(A174,강서본부_전년!$A:$B,2,0),0)</f>
        <v>1445910</v>
      </c>
      <c r="E174" s="15">
        <f>IFERROR(VLOOKUP(A174,동부본부_전년!$A:$B,2,0),0)</f>
        <v>527000</v>
      </c>
      <c r="F174" s="15">
        <f>IFERROR(VLOOKUP(A174,서부본부_전년!$A:$B,2,0),0)</f>
        <v>217091</v>
      </c>
    </row>
    <row r="175" spans="1:6" hidden="1" outlineLevel="1" x14ac:dyDescent="0.45">
      <c r="A175" s="3" t="s">
        <v>173</v>
      </c>
      <c r="B175" s="15">
        <f>IFERROR(VLOOKUP(sum_!A175,강북본부_전년!$A:$B,2,0),0)</f>
        <v>0</v>
      </c>
      <c r="C175" s="15">
        <f>IFERROR(VLOOKUP(A175,강남본부_전년!$A:$B,2,0),0)</f>
        <v>0</v>
      </c>
      <c r="D175" s="15">
        <f>IFERROR(VLOOKUP(A175,강서본부_전년!$A:$B,2,0),0)</f>
        <v>0</v>
      </c>
      <c r="E175" s="15">
        <f>IFERROR(VLOOKUP(A175,동부본부_전년!$A:$B,2,0),0)</f>
        <v>0</v>
      </c>
      <c r="F175" s="15">
        <f>IFERROR(VLOOKUP(A175,서부본부_전년!$A:$B,2,0),0)</f>
        <v>0</v>
      </c>
    </row>
    <row r="176" spans="1:6" hidden="1" outlineLevel="1" x14ac:dyDescent="0.45">
      <c r="A176" s="3" t="s">
        <v>174</v>
      </c>
      <c r="B176" s="15">
        <f>IFERROR(VLOOKUP(sum_!A176,강북본부_전년!$A:$B,2,0),0)</f>
        <v>0</v>
      </c>
      <c r="C176" s="15">
        <f>IFERROR(VLOOKUP(A176,강남본부_전년!$A:$B,2,0),0)</f>
        <v>0</v>
      </c>
      <c r="D176" s="15">
        <f>IFERROR(VLOOKUP(A176,강서본부_전년!$A:$B,2,0),0)</f>
        <v>0</v>
      </c>
      <c r="E176" s="15">
        <f>IFERROR(VLOOKUP(A176,동부본부_전년!$A:$B,2,0),0)</f>
        <v>0</v>
      </c>
      <c r="F176" s="15">
        <f>IFERROR(VLOOKUP(A176,서부본부_전년!$A:$B,2,0),0)</f>
        <v>0</v>
      </c>
    </row>
    <row r="177" spans="1:6" hidden="1" outlineLevel="1" x14ac:dyDescent="0.45">
      <c r="A177" s="3" t="s">
        <v>175</v>
      </c>
      <c r="B177" s="15">
        <f>IFERROR(VLOOKUP(sum_!A177,강북본부_전년!$A:$B,2,0),0)</f>
        <v>0</v>
      </c>
      <c r="C177" s="15">
        <f>IFERROR(VLOOKUP(A177,강남본부_전년!$A:$B,2,0),0)</f>
        <v>0</v>
      </c>
      <c r="D177" s="15">
        <f>IFERROR(VLOOKUP(A177,강서본부_전년!$A:$B,2,0),0)</f>
        <v>0</v>
      </c>
      <c r="E177" s="15">
        <f>IFERROR(VLOOKUP(A177,동부본부_전년!$A:$B,2,0),0)</f>
        <v>0</v>
      </c>
      <c r="F177" s="15">
        <f>IFERROR(VLOOKUP(A177,서부본부_전년!$A:$B,2,0),0)</f>
        <v>0</v>
      </c>
    </row>
    <row r="178" spans="1:6" collapsed="1" x14ac:dyDescent="0.45">
      <c r="A178" s="2" t="s">
        <v>176</v>
      </c>
      <c r="B178" s="14">
        <f>IFERROR(VLOOKUP(sum_!A178,강북본부_전년!$A:$B,2,0),0)</f>
        <v>0</v>
      </c>
      <c r="C178" s="14">
        <f>IFERROR(VLOOKUP(A178,강남본부_전년!$A:$B,2,0),0)</f>
        <v>0</v>
      </c>
      <c r="D178" s="14">
        <f>IFERROR(VLOOKUP(A178,강서본부_전년!$A:$B,2,0),0)</f>
        <v>0</v>
      </c>
      <c r="E178" s="14">
        <f>IFERROR(VLOOKUP(A178,동부본부_전년!$A:$B,2,0),0)</f>
        <v>0</v>
      </c>
      <c r="F178" s="14">
        <f>IFERROR(VLOOKUP(A178,서부본부_전년!$A:$B,2,0),0)</f>
        <v>0</v>
      </c>
    </row>
    <row r="179" spans="1:6" hidden="1" outlineLevel="1" x14ac:dyDescent="0.45">
      <c r="A179" s="3" t="s">
        <v>177</v>
      </c>
      <c r="B179" s="15">
        <f>IFERROR(VLOOKUP(sum_!A179,강북본부_전년!$A:$B,2,0),0)</f>
        <v>0</v>
      </c>
      <c r="C179" s="15">
        <f>IFERROR(VLOOKUP(A179,강남본부_전년!$A:$B,2,0),0)</f>
        <v>0</v>
      </c>
      <c r="D179" s="15">
        <f>IFERROR(VLOOKUP(A179,강서본부_전년!$A:$B,2,0),0)</f>
        <v>0</v>
      </c>
      <c r="E179" s="15">
        <f>IFERROR(VLOOKUP(A179,동부본부_전년!$A:$B,2,0),0)</f>
        <v>0</v>
      </c>
      <c r="F179" s="15">
        <f>IFERROR(VLOOKUP(A179,서부본부_전년!$A:$B,2,0),0)</f>
        <v>0</v>
      </c>
    </row>
    <row r="180" spans="1:6" hidden="1" outlineLevel="1" x14ac:dyDescent="0.45">
      <c r="A180" s="3" t="s">
        <v>178</v>
      </c>
      <c r="B180" s="15">
        <f>IFERROR(VLOOKUP(sum_!A180,강북본부_전년!$A:$B,2,0),0)</f>
        <v>0</v>
      </c>
      <c r="C180" s="15">
        <f>IFERROR(VLOOKUP(A180,강남본부_전년!$A:$B,2,0),0)</f>
        <v>0</v>
      </c>
      <c r="D180" s="15">
        <f>IFERROR(VLOOKUP(A180,강서본부_전년!$A:$B,2,0),0)</f>
        <v>0</v>
      </c>
      <c r="E180" s="15">
        <f>IFERROR(VLOOKUP(A180,동부본부_전년!$A:$B,2,0),0)</f>
        <v>0</v>
      </c>
      <c r="F180" s="15">
        <f>IFERROR(VLOOKUP(A180,서부본부_전년!$A:$B,2,0),0)</f>
        <v>0</v>
      </c>
    </row>
    <row r="181" spans="1:6" collapsed="1" x14ac:dyDescent="0.45">
      <c r="A181" s="2" t="s">
        <v>179</v>
      </c>
      <c r="B181" s="14">
        <f>IFERROR(VLOOKUP(sum_!A181,강북본부_전년!$A:$B,2,0),0)</f>
        <v>47433009</v>
      </c>
      <c r="C181" s="14">
        <f>IFERROR(VLOOKUP(A181,강남본부_전년!$A:$B,2,0),0)</f>
        <v>46277404</v>
      </c>
      <c r="D181" s="14">
        <f>IFERROR(VLOOKUP(A181,강서본부_전년!$A:$B,2,0),0)</f>
        <v>42611878</v>
      </c>
      <c r="E181" s="14">
        <f>IFERROR(VLOOKUP(A181,동부본부_전년!$A:$B,2,0),0)</f>
        <v>59812921</v>
      </c>
      <c r="F181" s="14">
        <f>IFERROR(VLOOKUP(A181,서부본부_전년!$A:$B,2,0),0)</f>
        <v>61887424</v>
      </c>
    </row>
    <row r="182" spans="1:6" hidden="1" outlineLevel="1" x14ac:dyDescent="0.45">
      <c r="A182" s="3" t="s">
        <v>180</v>
      </c>
      <c r="B182" s="15">
        <f>IFERROR(VLOOKUP(sum_!A182,강북본부_전년!$A:$B,2,0),0)</f>
        <v>9839705</v>
      </c>
      <c r="C182" s="15">
        <f>IFERROR(VLOOKUP(A182,강남본부_전년!$A:$B,2,0),0)</f>
        <v>7667496</v>
      </c>
      <c r="D182" s="15">
        <f>IFERROR(VLOOKUP(A182,강서본부_전년!$A:$B,2,0),0)</f>
        <v>7791795</v>
      </c>
      <c r="E182" s="15">
        <f>IFERROR(VLOOKUP(A182,동부본부_전년!$A:$B,2,0),0)</f>
        <v>10718052</v>
      </c>
      <c r="F182" s="15">
        <f>IFERROR(VLOOKUP(A182,서부본부_전년!$A:$B,2,0),0)</f>
        <v>9804146</v>
      </c>
    </row>
    <row r="183" spans="1:6" hidden="1" outlineLevel="1" x14ac:dyDescent="0.45">
      <c r="A183" s="3" t="s">
        <v>181</v>
      </c>
      <c r="B183" s="15">
        <f>IFERROR(VLOOKUP(sum_!A183,강북본부_전년!$A:$B,2,0),0)</f>
        <v>0</v>
      </c>
      <c r="C183" s="15">
        <f>IFERROR(VLOOKUP(A183,강남본부_전년!$A:$B,2,0),0)</f>
        <v>0</v>
      </c>
      <c r="D183" s="15">
        <f>IFERROR(VLOOKUP(A183,강서본부_전년!$A:$B,2,0),0)</f>
        <v>0</v>
      </c>
      <c r="E183" s="15">
        <f>IFERROR(VLOOKUP(A183,동부본부_전년!$A:$B,2,0),0)</f>
        <v>0</v>
      </c>
      <c r="F183" s="15">
        <f>IFERROR(VLOOKUP(A183,서부본부_전년!$A:$B,2,0),0)</f>
        <v>0</v>
      </c>
    </row>
    <row r="184" spans="1:6" hidden="1" outlineLevel="1" x14ac:dyDescent="0.45">
      <c r="A184" s="3" t="s">
        <v>182</v>
      </c>
      <c r="B184" s="15">
        <f>IFERROR(VLOOKUP(sum_!A184,강북본부_전년!$A:$B,2,0),0)</f>
        <v>2318387</v>
      </c>
      <c r="C184" s="15">
        <f>IFERROR(VLOOKUP(A184,강남본부_전년!$A:$B,2,0),0)</f>
        <v>1981250</v>
      </c>
      <c r="D184" s="15">
        <f>IFERROR(VLOOKUP(A184,강서본부_전년!$A:$B,2,0),0)</f>
        <v>2363603</v>
      </c>
      <c r="E184" s="15">
        <f>IFERROR(VLOOKUP(A184,동부본부_전년!$A:$B,2,0),0)</f>
        <v>2284782</v>
      </c>
      <c r="F184" s="15">
        <f>IFERROR(VLOOKUP(A184,서부본부_전년!$A:$B,2,0),0)</f>
        <v>2288900</v>
      </c>
    </row>
    <row r="185" spans="1:6" hidden="1" outlineLevel="1" x14ac:dyDescent="0.45">
      <c r="A185" s="3" t="s">
        <v>183</v>
      </c>
      <c r="B185" s="15">
        <f>IFERROR(VLOOKUP(sum_!A185,강북본부_전년!$A:$B,2,0),0)</f>
        <v>1173882</v>
      </c>
      <c r="C185" s="15">
        <f>IFERROR(VLOOKUP(A185,강남본부_전년!$A:$B,2,0),0)</f>
        <v>869373</v>
      </c>
      <c r="D185" s="15">
        <f>IFERROR(VLOOKUP(A185,강서본부_전년!$A:$B,2,0),0)</f>
        <v>1260211</v>
      </c>
      <c r="E185" s="15">
        <f>IFERROR(VLOOKUP(A185,동부본부_전년!$A:$B,2,0),0)</f>
        <v>1606368</v>
      </c>
      <c r="F185" s="15">
        <f>IFERROR(VLOOKUP(A185,서부본부_전년!$A:$B,2,0),0)</f>
        <v>1581970</v>
      </c>
    </row>
    <row r="186" spans="1:6" hidden="1" outlineLevel="1" x14ac:dyDescent="0.45">
      <c r="A186" s="3" t="s">
        <v>184</v>
      </c>
      <c r="B186" s="15">
        <f>IFERROR(VLOOKUP(sum_!A186,강북본부_전년!$A:$B,2,0),0)</f>
        <v>0</v>
      </c>
      <c r="C186" s="15">
        <f>IFERROR(VLOOKUP(A186,강남본부_전년!$A:$B,2,0),0)</f>
        <v>0</v>
      </c>
      <c r="D186" s="15">
        <f>IFERROR(VLOOKUP(A186,강서본부_전년!$A:$B,2,0),0)</f>
        <v>0</v>
      </c>
      <c r="E186" s="15">
        <f>IFERROR(VLOOKUP(A186,동부본부_전년!$A:$B,2,0),0)</f>
        <v>0</v>
      </c>
      <c r="F186" s="15">
        <f>IFERROR(VLOOKUP(A186,서부본부_전년!$A:$B,2,0),0)</f>
        <v>0</v>
      </c>
    </row>
    <row r="187" spans="1:6" hidden="1" outlineLevel="1" x14ac:dyDescent="0.45">
      <c r="A187" s="3" t="s">
        <v>185</v>
      </c>
      <c r="B187" s="15">
        <f>IFERROR(VLOOKUP(sum_!A187,강북본부_전년!$A:$B,2,0),0)</f>
        <v>4564419</v>
      </c>
      <c r="C187" s="15">
        <f>IFERROR(VLOOKUP(A187,강남본부_전년!$A:$B,2,0),0)</f>
        <v>0</v>
      </c>
      <c r="D187" s="15">
        <f>IFERROR(VLOOKUP(A187,강서본부_전년!$A:$B,2,0),0)</f>
        <v>7169498</v>
      </c>
      <c r="E187" s="15">
        <f>IFERROR(VLOOKUP(A187,동부본부_전년!$A:$B,2,0),0)</f>
        <v>7024878</v>
      </c>
      <c r="F187" s="15">
        <f>IFERROR(VLOOKUP(A187,서부본부_전년!$A:$B,2,0),0)</f>
        <v>3623069</v>
      </c>
    </row>
    <row r="188" spans="1:6" hidden="1" outlineLevel="1" x14ac:dyDescent="0.45">
      <c r="A188" s="3" t="s">
        <v>186</v>
      </c>
      <c r="B188" s="15">
        <f>IFERROR(VLOOKUP(sum_!A188,강북본부_전년!$A:$B,2,0),0)</f>
        <v>5139230</v>
      </c>
      <c r="C188" s="15">
        <f>IFERROR(VLOOKUP(A188,강남본부_전년!$A:$B,2,0),0)</f>
        <v>10890638</v>
      </c>
      <c r="D188" s="15">
        <f>IFERROR(VLOOKUP(A188,강서본부_전년!$A:$B,2,0),0)</f>
        <v>1338599</v>
      </c>
      <c r="E188" s="15">
        <f>IFERROR(VLOOKUP(A188,동부본부_전년!$A:$B,2,0),0)</f>
        <v>9647116</v>
      </c>
      <c r="F188" s="15">
        <f>IFERROR(VLOOKUP(A188,서부본부_전년!$A:$B,2,0),0)</f>
        <v>9798199</v>
      </c>
    </row>
    <row r="189" spans="1:6" hidden="1" outlineLevel="1" x14ac:dyDescent="0.45">
      <c r="A189" s="4" t="s">
        <v>187</v>
      </c>
      <c r="B189" s="16">
        <f>IFERROR(VLOOKUP(sum_!A189,강북본부_전년!$A:$B,2,0),0)</f>
        <v>23998554</v>
      </c>
      <c r="C189" s="16">
        <f>IFERROR(VLOOKUP(A189,강남본부_전년!$A:$B,2,0),0)</f>
        <v>24499921</v>
      </c>
      <c r="D189" s="16">
        <f>IFERROR(VLOOKUP(A189,강서본부_전년!$A:$B,2,0),0)</f>
        <v>22510163</v>
      </c>
      <c r="E189" s="16">
        <f>IFERROR(VLOOKUP(A189,동부본부_전년!$A:$B,2,0),0)</f>
        <v>28329085</v>
      </c>
      <c r="F189" s="16">
        <f>IFERROR(VLOOKUP(A189,서부본부_전년!$A:$B,2,0),0)</f>
        <v>34302139</v>
      </c>
    </row>
    <row r="190" spans="1:6" hidden="1" outlineLevel="1" x14ac:dyDescent="0.45">
      <c r="A190" s="3" t="s">
        <v>188</v>
      </c>
      <c r="B190" s="15">
        <f>IFERROR(VLOOKUP(sum_!A190,강북본부_전년!$A:$B,2,0),0)</f>
        <v>0</v>
      </c>
      <c r="C190" s="15">
        <f>IFERROR(VLOOKUP(A190,강남본부_전년!$A:$B,2,0),0)</f>
        <v>0</v>
      </c>
      <c r="D190" s="15">
        <f>IFERROR(VLOOKUP(A190,강서본부_전년!$A:$B,2,0),0)</f>
        <v>0</v>
      </c>
      <c r="E190" s="15">
        <f>IFERROR(VLOOKUP(A190,동부본부_전년!$A:$B,2,0),0)</f>
        <v>0</v>
      </c>
      <c r="F190" s="15">
        <f>IFERROR(VLOOKUP(A190,서부본부_전년!$A:$B,2,0),0)</f>
        <v>0</v>
      </c>
    </row>
    <row r="191" spans="1:6" hidden="1" outlineLevel="1" x14ac:dyDescent="0.45">
      <c r="A191" s="3" t="s">
        <v>189</v>
      </c>
      <c r="B191" s="15">
        <f>IFERROR(VLOOKUP(sum_!A191,강북본부_전년!$A:$B,2,0),0)</f>
        <v>398832</v>
      </c>
      <c r="C191" s="15">
        <f>IFERROR(VLOOKUP(A191,강남본부_전년!$A:$B,2,0),0)</f>
        <v>368726</v>
      </c>
      <c r="D191" s="15">
        <f>IFERROR(VLOOKUP(A191,강서본부_전년!$A:$B,2,0),0)</f>
        <v>178009</v>
      </c>
      <c r="E191" s="15">
        <f>IFERROR(VLOOKUP(A191,동부본부_전년!$A:$B,2,0),0)</f>
        <v>202640</v>
      </c>
      <c r="F191" s="15">
        <f>IFERROR(VLOOKUP(A191,서부본부_전년!$A:$B,2,0),0)</f>
        <v>489001</v>
      </c>
    </row>
    <row r="192" spans="1:6" hidden="1" outlineLevel="1" x14ac:dyDescent="0.45">
      <c r="A192" s="5" t="s">
        <v>190</v>
      </c>
      <c r="B192" s="17">
        <f>IFERROR(VLOOKUP(sum_!A192,강북본부_전년!$A:$B,2,0),0)</f>
        <v>0</v>
      </c>
      <c r="C192" s="17">
        <f>IFERROR(VLOOKUP(A192,강남본부_전년!$A:$B,2,0),0)</f>
        <v>0</v>
      </c>
      <c r="D192" s="17">
        <f>IFERROR(VLOOKUP(A192,강서본부_전년!$A:$B,2,0),0)</f>
        <v>0</v>
      </c>
      <c r="E192" s="17">
        <f>IFERROR(VLOOKUP(A192,동부본부_전년!$A:$B,2,0),0)</f>
        <v>0</v>
      </c>
      <c r="F192" s="17">
        <f>IFERROR(VLOOKUP(A192,서부본부_전년!$A:$B,2,0),0)</f>
        <v>0</v>
      </c>
    </row>
    <row r="193" spans="1:6" collapsed="1" x14ac:dyDescent="0.45">
      <c r="A193" s="2" t="s">
        <v>191</v>
      </c>
      <c r="B193" s="14">
        <f>IFERROR(VLOOKUP(sum_!A193,강북본부_전년!$A:$B,2,0),0)</f>
        <v>8841713</v>
      </c>
      <c r="C193" s="14">
        <f>IFERROR(VLOOKUP(A193,강남본부_전년!$A:$B,2,0),0)</f>
        <v>14596857</v>
      </c>
      <c r="D193" s="14">
        <f>IFERROR(VLOOKUP(A193,강서본부_전년!$A:$B,2,0),0)</f>
        <v>11783377</v>
      </c>
      <c r="E193" s="14">
        <f>IFERROR(VLOOKUP(A193,동부본부_전년!$A:$B,2,0),0)</f>
        <v>13103374</v>
      </c>
      <c r="F193" s="14">
        <f>IFERROR(VLOOKUP(A193,서부본부_전년!$A:$B,2,0),0)</f>
        <v>10097329</v>
      </c>
    </row>
    <row r="194" spans="1:6" hidden="1" outlineLevel="1" x14ac:dyDescent="0.45">
      <c r="A194" s="3" t="s">
        <v>192</v>
      </c>
      <c r="B194" s="15">
        <f>IFERROR(VLOOKUP(sum_!A194,강북본부_전년!$A:$B,2,0),0)</f>
        <v>3914920</v>
      </c>
      <c r="C194" s="15">
        <f>IFERROR(VLOOKUP(A194,강남본부_전년!$A:$B,2,0),0)</f>
        <v>6201250</v>
      </c>
      <c r="D194" s="15">
        <f>IFERROR(VLOOKUP(A194,강서본부_전년!$A:$B,2,0),0)</f>
        <v>5927010</v>
      </c>
      <c r="E194" s="15">
        <f>IFERROR(VLOOKUP(A194,동부본부_전년!$A:$B,2,0),0)</f>
        <v>7176200</v>
      </c>
      <c r="F194" s="15">
        <f>IFERROR(VLOOKUP(A194,서부본부_전년!$A:$B,2,0),0)</f>
        <v>4800305</v>
      </c>
    </row>
    <row r="195" spans="1:6" hidden="1" outlineLevel="1" x14ac:dyDescent="0.45">
      <c r="A195" s="3" t="s">
        <v>193</v>
      </c>
      <c r="B195" s="15">
        <f>IFERROR(VLOOKUP(sum_!A195,강북본부_전년!$A:$B,2,0),0)</f>
        <v>2514455</v>
      </c>
      <c r="C195" s="15">
        <f>IFERROR(VLOOKUP(A195,강남본부_전년!$A:$B,2,0),0)</f>
        <v>5519311</v>
      </c>
      <c r="D195" s="15">
        <f>IFERROR(VLOOKUP(A195,강서본부_전년!$A:$B,2,0),0)</f>
        <v>3183249</v>
      </c>
      <c r="E195" s="15">
        <f>IFERROR(VLOOKUP(A195,동부본부_전년!$A:$B,2,0),0)</f>
        <v>2719836</v>
      </c>
      <c r="F195" s="15">
        <f>IFERROR(VLOOKUP(A195,서부본부_전년!$A:$B,2,0),0)</f>
        <v>2566032</v>
      </c>
    </row>
    <row r="196" spans="1:6" hidden="1" outlineLevel="1" x14ac:dyDescent="0.45">
      <c r="A196" s="3" t="s">
        <v>194</v>
      </c>
      <c r="B196" s="15">
        <f>IFERROR(VLOOKUP(sum_!A196,강북본부_전년!$A:$B,2,0),0)</f>
        <v>2412338</v>
      </c>
      <c r="C196" s="15">
        <f>IFERROR(VLOOKUP(A196,강남본부_전년!$A:$B,2,0),0)</f>
        <v>2876296</v>
      </c>
      <c r="D196" s="15">
        <f>IFERROR(VLOOKUP(A196,강서본부_전년!$A:$B,2,0),0)</f>
        <v>2673118</v>
      </c>
      <c r="E196" s="15">
        <f>IFERROR(VLOOKUP(A196,동부본부_전년!$A:$B,2,0),0)</f>
        <v>3207338</v>
      </c>
      <c r="F196" s="15">
        <f>IFERROR(VLOOKUP(A196,서부본부_전년!$A:$B,2,0),0)</f>
        <v>2730992</v>
      </c>
    </row>
    <row r="197" spans="1:6" hidden="1" outlineLevel="1" x14ac:dyDescent="0.45">
      <c r="A197" s="3" t="s">
        <v>195</v>
      </c>
      <c r="B197" s="15">
        <f>IFERROR(VLOOKUP(sum_!A197,강북본부_전년!$A:$B,2,0),0)</f>
        <v>0</v>
      </c>
      <c r="C197" s="15">
        <f>IFERROR(VLOOKUP(A197,강남본부_전년!$A:$B,2,0),0)</f>
        <v>0</v>
      </c>
      <c r="D197" s="15">
        <f>IFERROR(VLOOKUP(A197,강서본부_전년!$A:$B,2,0),0)</f>
        <v>0</v>
      </c>
      <c r="E197" s="15">
        <f>IFERROR(VLOOKUP(A197,동부본부_전년!$A:$B,2,0),0)</f>
        <v>0</v>
      </c>
      <c r="F197" s="15">
        <f>IFERROR(VLOOKUP(A197,서부본부_전년!$A:$B,2,0),0)</f>
        <v>0</v>
      </c>
    </row>
    <row r="198" spans="1:6" hidden="1" outlineLevel="1" x14ac:dyDescent="0.45">
      <c r="A198" s="4" t="s">
        <v>196</v>
      </c>
      <c r="B198" s="16">
        <f>IFERROR(VLOOKUP(sum_!A198,강북본부_전년!$A:$B,2,0),0)</f>
        <v>0</v>
      </c>
      <c r="C198" s="16">
        <f>IFERROR(VLOOKUP(A198,강남본부_전년!$A:$B,2,0),0)</f>
        <v>0</v>
      </c>
      <c r="D198" s="16">
        <f>IFERROR(VLOOKUP(A198,강서본부_전년!$A:$B,2,0),0)</f>
        <v>0</v>
      </c>
      <c r="E198" s="16">
        <f>IFERROR(VLOOKUP(A198,동부본부_전년!$A:$B,2,0),0)</f>
        <v>0</v>
      </c>
      <c r="F198" s="16">
        <f>IFERROR(VLOOKUP(A198,서부본부_전년!$A:$B,2,0),0)</f>
        <v>0</v>
      </c>
    </row>
    <row r="199" spans="1:6" collapsed="1" x14ac:dyDescent="0.45">
      <c r="A199" s="2" t="s">
        <v>197</v>
      </c>
      <c r="B199" s="14">
        <f>IFERROR(VLOOKUP(sum_!A199,강북본부_전년!$A:$B,2,0),0)</f>
        <v>23090926</v>
      </c>
      <c r="C199" s="14">
        <f>IFERROR(VLOOKUP(A199,강남본부_전년!$A:$B,2,0),0)</f>
        <v>15882298</v>
      </c>
      <c r="D199" s="14">
        <f>IFERROR(VLOOKUP(A199,강서본부_전년!$A:$B,2,0),0)</f>
        <v>22043654</v>
      </c>
      <c r="E199" s="14">
        <f>IFERROR(VLOOKUP(A199,동부본부_전년!$A:$B,2,0),0)</f>
        <v>24369961</v>
      </c>
      <c r="F199" s="14">
        <f>IFERROR(VLOOKUP(A199,서부본부_전년!$A:$B,2,0),0)</f>
        <v>16424098</v>
      </c>
    </row>
    <row r="200" spans="1:6" hidden="1" outlineLevel="1" x14ac:dyDescent="0.45">
      <c r="A200" s="3" t="s">
        <v>198</v>
      </c>
      <c r="B200" s="15">
        <f>IFERROR(VLOOKUP(sum_!A200,강북본부_전년!$A:$B,2,0),0)</f>
        <v>0</v>
      </c>
      <c r="C200" s="15">
        <f>IFERROR(VLOOKUP(A200,강남본부_전년!$A:$B,2,0),0)</f>
        <v>0</v>
      </c>
      <c r="D200" s="15">
        <f>IFERROR(VLOOKUP(A200,강서본부_전년!$A:$B,2,0),0)</f>
        <v>0</v>
      </c>
      <c r="E200" s="15">
        <f>IFERROR(VLOOKUP(A200,동부본부_전년!$A:$B,2,0),0)</f>
        <v>0</v>
      </c>
      <c r="F200" s="15">
        <f>IFERROR(VLOOKUP(A200,서부본부_전년!$A:$B,2,0),0)</f>
        <v>0</v>
      </c>
    </row>
    <row r="201" spans="1:6" hidden="1" outlineLevel="1" x14ac:dyDescent="0.45">
      <c r="A201" s="3" t="s">
        <v>199</v>
      </c>
      <c r="B201" s="15">
        <f>IFERROR(VLOOKUP(sum_!A201,강북본부_전년!$A:$B,2,0),0)</f>
        <v>4795100</v>
      </c>
      <c r="C201" s="15">
        <f>IFERROR(VLOOKUP(A201,강남본부_전년!$A:$B,2,0),0)</f>
        <v>0</v>
      </c>
      <c r="D201" s="15">
        <f>IFERROR(VLOOKUP(A201,강서본부_전년!$A:$B,2,0),0)</f>
        <v>46000</v>
      </c>
      <c r="E201" s="15">
        <f>IFERROR(VLOOKUP(A201,동부본부_전년!$A:$B,2,0),0)</f>
        <v>0</v>
      </c>
      <c r="F201" s="15">
        <f>IFERROR(VLOOKUP(A201,서부본부_전년!$A:$B,2,0),0)</f>
        <v>0</v>
      </c>
    </row>
    <row r="202" spans="1:6" hidden="1" outlineLevel="1" x14ac:dyDescent="0.45">
      <c r="A202" s="3" t="s">
        <v>200</v>
      </c>
      <c r="B202" s="15">
        <f>IFERROR(VLOOKUP(sum_!A202,강북본부_전년!$A:$B,2,0),0)</f>
        <v>0</v>
      </c>
      <c r="C202" s="15">
        <f>IFERROR(VLOOKUP(A202,강남본부_전년!$A:$B,2,0),0)</f>
        <v>0</v>
      </c>
      <c r="D202" s="15">
        <f>IFERROR(VLOOKUP(A202,강서본부_전년!$A:$B,2,0),0)</f>
        <v>0</v>
      </c>
      <c r="E202" s="15">
        <f>IFERROR(VLOOKUP(A202,동부본부_전년!$A:$B,2,0),0)</f>
        <v>0</v>
      </c>
      <c r="F202" s="15">
        <f>IFERROR(VLOOKUP(A202,서부본부_전년!$A:$B,2,0),0)</f>
        <v>0</v>
      </c>
    </row>
    <row r="203" spans="1:6" hidden="1" outlineLevel="1" x14ac:dyDescent="0.45">
      <c r="A203" s="3" t="s">
        <v>201</v>
      </c>
      <c r="B203" s="15">
        <f>IFERROR(VLOOKUP(sum_!A203,강북본부_전년!$A:$B,2,0),0)</f>
        <v>0</v>
      </c>
      <c r="C203" s="15">
        <f>IFERROR(VLOOKUP(A203,강남본부_전년!$A:$B,2,0),0)</f>
        <v>0</v>
      </c>
      <c r="D203" s="15">
        <f>IFERROR(VLOOKUP(A203,강서본부_전년!$A:$B,2,0),0)</f>
        <v>0</v>
      </c>
      <c r="E203" s="15">
        <f>IFERROR(VLOOKUP(A203,동부본부_전년!$A:$B,2,0),0)</f>
        <v>0</v>
      </c>
      <c r="F203" s="15">
        <f>IFERROR(VLOOKUP(A203,서부본부_전년!$A:$B,2,0),0)</f>
        <v>0</v>
      </c>
    </row>
    <row r="204" spans="1:6" hidden="1" outlineLevel="1" x14ac:dyDescent="0.45">
      <c r="A204" s="3" t="s">
        <v>202</v>
      </c>
      <c r="B204" s="15">
        <f>IFERROR(VLOOKUP(sum_!A204,강북본부_전년!$A:$B,2,0),0)</f>
        <v>4901316</v>
      </c>
      <c r="C204" s="15">
        <f>IFERROR(VLOOKUP(A204,강남본부_전년!$A:$B,2,0),0)</f>
        <v>4069558</v>
      </c>
      <c r="D204" s="15">
        <f>IFERROR(VLOOKUP(A204,강서본부_전년!$A:$B,2,0),0)</f>
        <v>5018077</v>
      </c>
      <c r="E204" s="15">
        <f>IFERROR(VLOOKUP(A204,동부본부_전년!$A:$B,2,0),0)</f>
        <v>5014200</v>
      </c>
      <c r="F204" s="15">
        <f>IFERROR(VLOOKUP(A204,서부본부_전년!$A:$B,2,0),0)</f>
        <v>5179001</v>
      </c>
    </row>
    <row r="205" spans="1:6" hidden="1" outlineLevel="1" x14ac:dyDescent="0.45">
      <c r="A205" s="3" t="s">
        <v>203</v>
      </c>
      <c r="B205" s="15">
        <f>IFERROR(VLOOKUP(sum_!A205,강북본부_전년!$A:$B,2,0),0)</f>
        <v>0</v>
      </c>
      <c r="C205" s="15">
        <f>IFERROR(VLOOKUP(A205,강남본부_전년!$A:$B,2,0),0)</f>
        <v>0</v>
      </c>
      <c r="D205" s="15">
        <f>IFERROR(VLOOKUP(A205,강서본부_전년!$A:$B,2,0),0)</f>
        <v>0</v>
      </c>
      <c r="E205" s="15">
        <f>IFERROR(VLOOKUP(A205,동부본부_전년!$A:$B,2,0),0)</f>
        <v>23500</v>
      </c>
      <c r="F205" s="15">
        <f>IFERROR(VLOOKUP(A205,서부본부_전년!$A:$B,2,0),0)</f>
        <v>0</v>
      </c>
    </row>
    <row r="206" spans="1:6" hidden="1" outlineLevel="1" x14ac:dyDescent="0.45">
      <c r="A206" s="3" t="s">
        <v>204</v>
      </c>
      <c r="B206" s="15">
        <f>IFERROR(VLOOKUP(sum_!A206,강북본부_전년!$A:$B,2,0),0)</f>
        <v>4560000</v>
      </c>
      <c r="C206" s="15">
        <f>IFERROR(VLOOKUP(A206,강남본부_전년!$A:$B,2,0),0)</f>
        <v>1490000</v>
      </c>
      <c r="D206" s="15">
        <f>IFERROR(VLOOKUP(A206,강서본부_전년!$A:$B,2,0),0)</f>
        <v>5096000</v>
      </c>
      <c r="E206" s="15">
        <f>IFERROR(VLOOKUP(A206,동부본부_전년!$A:$B,2,0),0)</f>
        <v>7540000</v>
      </c>
      <c r="F206" s="15">
        <f>IFERROR(VLOOKUP(A206,서부본부_전년!$A:$B,2,0),0)</f>
        <v>0</v>
      </c>
    </row>
    <row r="207" spans="1:6" hidden="1" outlineLevel="1" x14ac:dyDescent="0.45">
      <c r="A207" s="3" t="s">
        <v>205</v>
      </c>
      <c r="B207" s="15">
        <f>IFERROR(VLOOKUP(sum_!A207,강북본부_전년!$A:$B,2,0),0)</f>
        <v>3812510</v>
      </c>
      <c r="C207" s="15">
        <f>IFERROR(VLOOKUP(A207,강남본부_전년!$A:$B,2,0),0)</f>
        <v>2989340</v>
      </c>
      <c r="D207" s="15">
        <f>IFERROR(VLOOKUP(A207,강서본부_전년!$A:$B,2,0),0)</f>
        <v>6165977</v>
      </c>
      <c r="E207" s="15">
        <f>IFERROR(VLOOKUP(A207,동부본부_전년!$A:$B,2,0),0)</f>
        <v>6275461</v>
      </c>
      <c r="F207" s="15">
        <f>IFERROR(VLOOKUP(A207,서부본부_전년!$A:$B,2,0),0)</f>
        <v>6058897</v>
      </c>
    </row>
    <row r="208" spans="1:6" hidden="1" outlineLevel="1" x14ac:dyDescent="0.45">
      <c r="A208" s="3" t="s">
        <v>206</v>
      </c>
      <c r="B208" s="15">
        <f>IFERROR(VLOOKUP(sum_!A208,강북본부_전년!$A:$B,2,0),0)</f>
        <v>0</v>
      </c>
      <c r="C208" s="15">
        <f>IFERROR(VLOOKUP(A208,강남본부_전년!$A:$B,2,0),0)</f>
        <v>0</v>
      </c>
      <c r="D208" s="15">
        <f>IFERROR(VLOOKUP(A208,강서본부_전년!$A:$B,2,0),0)</f>
        <v>0</v>
      </c>
      <c r="E208" s="15">
        <f>IFERROR(VLOOKUP(A208,동부본부_전년!$A:$B,2,0),0)</f>
        <v>0</v>
      </c>
      <c r="F208" s="15">
        <f>IFERROR(VLOOKUP(A208,서부본부_전년!$A:$B,2,0),0)</f>
        <v>0</v>
      </c>
    </row>
    <row r="209" spans="1:6" hidden="1" outlineLevel="1" x14ac:dyDescent="0.45">
      <c r="A209" s="3" t="s">
        <v>207</v>
      </c>
      <c r="B209" s="15">
        <f>IFERROR(VLOOKUP(sum_!A209,강북본부_전년!$A:$B,2,0),0)</f>
        <v>5022000</v>
      </c>
      <c r="C209" s="15">
        <f>IFERROR(VLOOKUP(A209,강남본부_전년!$A:$B,2,0),0)</f>
        <v>7333400</v>
      </c>
      <c r="D209" s="15">
        <f>IFERROR(VLOOKUP(A209,강서본부_전년!$A:$B,2,0),0)</f>
        <v>5717600</v>
      </c>
      <c r="E209" s="15">
        <f>IFERROR(VLOOKUP(A209,동부본부_전년!$A:$B,2,0),0)</f>
        <v>5516800</v>
      </c>
      <c r="F209" s="15">
        <f>IFERROR(VLOOKUP(A209,서부본부_전년!$A:$B,2,0),0)</f>
        <v>5186200</v>
      </c>
    </row>
    <row r="210" spans="1:6" hidden="1" outlineLevel="1" x14ac:dyDescent="0.45">
      <c r="A210" s="4" t="s">
        <v>208</v>
      </c>
      <c r="B210" s="16">
        <f>IFERROR(VLOOKUP(sum_!A210,강북본부_전년!$A:$B,2,0),0)</f>
        <v>0</v>
      </c>
      <c r="C210" s="16">
        <f>IFERROR(VLOOKUP(A210,강남본부_전년!$A:$B,2,0),0)</f>
        <v>0</v>
      </c>
      <c r="D210" s="16">
        <f>IFERROR(VLOOKUP(A210,강서본부_전년!$A:$B,2,0),0)</f>
        <v>0</v>
      </c>
      <c r="E210" s="16">
        <f>IFERROR(VLOOKUP(A210,동부본부_전년!$A:$B,2,0),0)</f>
        <v>0</v>
      </c>
      <c r="F210" s="16">
        <f>IFERROR(VLOOKUP(A210,서부본부_전년!$A:$B,2,0),0)</f>
        <v>0</v>
      </c>
    </row>
    <row r="211" spans="1:6" hidden="1" outlineLevel="1" x14ac:dyDescent="0.45">
      <c r="A211" s="3" t="s">
        <v>209</v>
      </c>
      <c r="B211" s="15">
        <f>IFERROR(VLOOKUP(sum_!A211,강북본부_전년!$A:$B,2,0),0)</f>
        <v>0</v>
      </c>
      <c r="C211" s="15">
        <f>IFERROR(VLOOKUP(A211,강남본부_전년!$A:$B,2,0),0)</f>
        <v>0</v>
      </c>
      <c r="D211" s="15">
        <f>IFERROR(VLOOKUP(A211,강서본부_전년!$A:$B,2,0),0)</f>
        <v>0</v>
      </c>
      <c r="E211" s="15">
        <f>IFERROR(VLOOKUP(A211,동부본부_전년!$A:$B,2,0),0)</f>
        <v>0</v>
      </c>
      <c r="F211" s="15">
        <f>IFERROR(VLOOKUP(A211,서부본부_전년!$A:$B,2,0),0)</f>
        <v>0</v>
      </c>
    </row>
    <row r="212" spans="1:6" hidden="1" outlineLevel="1" x14ac:dyDescent="0.45">
      <c r="A212" s="4" t="s">
        <v>210</v>
      </c>
      <c r="B212" s="16">
        <f>IFERROR(VLOOKUP(sum_!A212,강북본부_전년!$A:$B,2,0),0)</f>
        <v>0</v>
      </c>
      <c r="C212" s="16">
        <f>IFERROR(VLOOKUP(A212,강남본부_전년!$A:$B,2,0),0)</f>
        <v>0</v>
      </c>
      <c r="D212" s="16">
        <f>IFERROR(VLOOKUP(A212,강서본부_전년!$A:$B,2,0),0)</f>
        <v>0</v>
      </c>
      <c r="E212" s="16">
        <f>IFERROR(VLOOKUP(A212,동부본부_전년!$A:$B,2,0),0)</f>
        <v>0</v>
      </c>
      <c r="F212" s="16">
        <f>IFERROR(VLOOKUP(A212,서부본부_전년!$A:$B,2,0),0)</f>
        <v>0</v>
      </c>
    </row>
    <row r="213" spans="1:6" hidden="1" outlineLevel="1" x14ac:dyDescent="0.45">
      <c r="A213" s="3" t="s">
        <v>211</v>
      </c>
      <c r="B213" s="15">
        <f>IFERROR(VLOOKUP(sum_!A213,강북본부_전년!$A:$B,2,0),0)</f>
        <v>0</v>
      </c>
      <c r="C213" s="15">
        <f>IFERROR(VLOOKUP(A213,강남본부_전년!$A:$B,2,0),0)</f>
        <v>0</v>
      </c>
      <c r="D213" s="15">
        <f>IFERROR(VLOOKUP(A213,강서본부_전년!$A:$B,2,0),0)</f>
        <v>0</v>
      </c>
      <c r="E213" s="15">
        <f>IFERROR(VLOOKUP(A213,동부본부_전년!$A:$B,2,0),0)</f>
        <v>0</v>
      </c>
      <c r="F213" s="15">
        <f>IFERROR(VLOOKUP(A213,서부본부_전년!$A:$B,2,0),0)</f>
        <v>0</v>
      </c>
    </row>
    <row r="214" spans="1:6" hidden="1" outlineLevel="1" x14ac:dyDescent="0.45">
      <c r="A214" s="3" t="s">
        <v>212</v>
      </c>
      <c r="B214" s="15">
        <f>IFERROR(VLOOKUP(sum_!A214,강북본부_전년!$A:$B,2,0),0)</f>
        <v>0</v>
      </c>
      <c r="C214" s="15">
        <f>IFERROR(VLOOKUP(A214,강남본부_전년!$A:$B,2,0),0)</f>
        <v>0</v>
      </c>
      <c r="D214" s="15">
        <f>IFERROR(VLOOKUP(A214,강서본부_전년!$A:$B,2,0),0)</f>
        <v>0</v>
      </c>
      <c r="E214" s="15">
        <f>IFERROR(VLOOKUP(A214,동부본부_전년!$A:$B,2,0),0)</f>
        <v>0</v>
      </c>
      <c r="F214" s="15">
        <f>IFERROR(VLOOKUP(A214,서부본부_전년!$A:$B,2,0),0)</f>
        <v>0</v>
      </c>
    </row>
    <row r="215" spans="1:6" collapsed="1" x14ac:dyDescent="0.45">
      <c r="A215" s="2" t="s">
        <v>213</v>
      </c>
      <c r="B215" s="14">
        <f>IFERROR(VLOOKUP(sum_!A215,강북본부_전년!$A:$B,2,0),0)</f>
        <v>0</v>
      </c>
      <c r="C215" s="14">
        <f>IFERROR(VLOOKUP(A215,강남본부_전년!$A:$B,2,0),0)</f>
        <v>0</v>
      </c>
      <c r="D215" s="14">
        <f>IFERROR(VLOOKUP(A215,강서본부_전년!$A:$B,2,0),0)</f>
        <v>0</v>
      </c>
      <c r="E215" s="14">
        <f>IFERROR(VLOOKUP(A215,동부본부_전년!$A:$B,2,0),0)</f>
        <v>0</v>
      </c>
      <c r="F215" s="14">
        <f>IFERROR(VLOOKUP(A215,서부본부_전년!$A:$B,2,0),0)</f>
        <v>0</v>
      </c>
    </row>
    <row r="216" spans="1:6" hidden="1" outlineLevel="1" x14ac:dyDescent="0.45">
      <c r="A216" s="3" t="s">
        <v>214</v>
      </c>
      <c r="B216" s="15">
        <f>IFERROR(VLOOKUP(sum_!A216,강북본부_전년!$A:$B,2,0),0)</f>
        <v>0</v>
      </c>
      <c r="C216" s="15">
        <f>IFERROR(VLOOKUP(A216,강남본부_전년!$A:$B,2,0),0)</f>
        <v>0</v>
      </c>
      <c r="D216" s="15">
        <f>IFERROR(VLOOKUP(A216,강서본부_전년!$A:$B,2,0),0)</f>
        <v>0</v>
      </c>
      <c r="E216" s="15">
        <f>IFERROR(VLOOKUP(A216,동부본부_전년!$A:$B,2,0),0)</f>
        <v>0</v>
      </c>
      <c r="F216" s="15">
        <f>IFERROR(VLOOKUP(A216,서부본부_전년!$A:$B,2,0),0)</f>
        <v>0</v>
      </c>
    </row>
    <row r="217" spans="1:6" collapsed="1" x14ac:dyDescent="0.45">
      <c r="A217" s="2" t="s">
        <v>215</v>
      </c>
      <c r="B217" s="14">
        <f>IFERROR(VLOOKUP(sum_!A217,강북본부_전년!$A:$B,2,0),0)</f>
        <v>151379498</v>
      </c>
      <c r="C217" s="14">
        <f>IFERROR(VLOOKUP(A217,강남본부_전년!$A:$B,2,0),0)</f>
        <v>190674118</v>
      </c>
      <c r="D217" s="14">
        <f>IFERROR(VLOOKUP(A217,강서본부_전년!$A:$B,2,0),0)</f>
        <v>273572365</v>
      </c>
      <c r="E217" s="14">
        <f>IFERROR(VLOOKUP(A217,동부본부_전년!$A:$B,2,0),0)</f>
        <v>324952506</v>
      </c>
      <c r="F217" s="14">
        <f>IFERROR(VLOOKUP(A217,서부본부_전년!$A:$B,2,0),0)</f>
        <v>254306589</v>
      </c>
    </row>
    <row r="218" spans="1:6" hidden="1" outlineLevel="1" x14ac:dyDescent="0.45">
      <c r="A218" s="2" t="s">
        <v>216</v>
      </c>
      <c r="B218" s="14">
        <f>IFERROR(VLOOKUP(sum_!A218,강북본부_전년!$A:$B,2,0),0)</f>
        <v>18301380</v>
      </c>
      <c r="C218" s="14">
        <f>IFERROR(VLOOKUP(A218,강남본부_전년!$A:$B,2,0),0)</f>
        <v>39646530</v>
      </c>
      <c r="D218" s="14">
        <f>IFERROR(VLOOKUP(A218,강서본부_전년!$A:$B,2,0),0)</f>
        <v>49073530</v>
      </c>
      <c r="E218" s="14">
        <f>IFERROR(VLOOKUP(A218,동부본부_전년!$A:$B,2,0),0)</f>
        <v>57847190</v>
      </c>
      <c r="F218" s="14">
        <f>IFERROR(VLOOKUP(A218,서부본부_전년!$A:$B,2,0),0)</f>
        <v>55551650</v>
      </c>
    </row>
    <row r="219" spans="1:6" hidden="1" outlineLevel="1" x14ac:dyDescent="0.45">
      <c r="A219" s="3" t="s">
        <v>217</v>
      </c>
      <c r="B219" s="15">
        <f>IFERROR(VLOOKUP(sum_!A219,강북본부_전년!$A:$B,2,0),0)</f>
        <v>0</v>
      </c>
      <c r="C219" s="15">
        <f>IFERROR(VLOOKUP(A219,강남본부_전년!$A:$B,2,0),0)</f>
        <v>0</v>
      </c>
      <c r="D219" s="15">
        <f>IFERROR(VLOOKUP(A219,강서본부_전년!$A:$B,2,0),0)</f>
        <v>0</v>
      </c>
      <c r="E219" s="15">
        <f>IFERROR(VLOOKUP(A219,동부본부_전년!$A:$B,2,0),0)</f>
        <v>0</v>
      </c>
      <c r="F219" s="15">
        <f>IFERROR(VLOOKUP(A219,서부본부_전년!$A:$B,2,0),0)</f>
        <v>0</v>
      </c>
    </row>
    <row r="220" spans="1:6" hidden="1" outlineLevel="1" x14ac:dyDescent="0.45">
      <c r="A220" s="3" t="s">
        <v>218</v>
      </c>
      <c r="B220" s="15">
        <f>IFERROR(VLOOKUP(sum_!A220,강북본부_전년!$A:$B,2,0),0)</f>
        <v>0</v>
      </c>
      <c r="C220" s="15">
        <f>IFERROR(VLOOKUP(A220,강남본부_전년!$A:$B,2,0),0)</f>
        <v>0</v>
      </c>
      <c r="D220" s="15">
        <f>IFERROR(VLOOKUP(A220,강서본부_전년!$A:$B,2,0),0)</f>
        <v>0</v>
      </c>
      <c r="E220" s="15">
        <f>IFERROR(VLOOKUP(A220,동부본부_전년!$A:$B,2,0),0)</f>
        <v>0</v>
      </c>
      <c r="F220" s="15">
        <f>IFERROR(VLOOKUP(A220,서부본부_전년!$A:$B,2,0),0)</f>
        <v>0</v>
      </c>
    </row>
    <row r="221" spans="1:6" hidden="1" outlineLevel="1" x14ac:dyDescent="0.45">
      <c r="A221" s="3" t="s">
        <v>219</v>
      </c>
      <c r="B221" s="15">
        <f>IFERROR(VLOOKUP(sum_!A221,강북본부_전년!$A:$B,2,0),0)</f>
        <v>735000</v>
      </c>
      <c r="C221" s="15">
        <f>IFERROR(VLOOKUP(A221,강남본부_전년!$A:$B,2,0),0)</f>
        <v>2931109</v>
      </c>
      <c r="D221" s="15">
        <f>IFERROR(VLOOKUP(A221,강서본부_전년!$A:$B,2,0),0)</f>
        <v>1197661</v>
      </c>
      <c r="E221" s="15">
        <f>IFERROR(VLOOKUP(A221,동부본부_전년!$A:$B,2,0),0)</f>
        <v>2064854</v>
      </c>
      <c r="F221" s="15">
        <f>IFERROR(VLOOKUP(A221,서부본부_전년!$A:$B,2,0),0)</f>
        <v>207840</v>
      </c>
    </row>
    <row r="222" spans="1:6" hidden="1" outlineLevel="1" x14ac:dyDescent="0.45">
      <c r="A222" s="2" t="s">
        <v>220</v>
      </c>
      <c r="B222" s="14">
        <f>IFERROR(VLOOKUP(sum_!A222,강북본부_전년!$A:$B,2,0),0)</f>
        <v>101574000</v>
      </c>
      <c r="C222" s="14">
        <f>IFERROR(VLOOKUP(A222,강남본부_전년!$A:$B,2,0),0)</f>
        <v>114057000</v>
      </c>
      <c r="D222" s="14">
        <f>IFERROR(VLOOKUP(A222,강서본부_전년!$A:$B,2,0),0)</f>
        <v>166544500</v>
      </c>
      <c r="E222" s="14">
        <f>IFERROR(VLOOKUP(A222,동부본부_전년!$A:$B,2,0),0)</f>
        <v>207271000</v>
      </c>
      <c r="F222" s="14">
        <f>IFERROR(VLOOKUP(A222,서부본부_전년!$A:$B,2,0),0)</f>
        <v>104462000</v>
      </c>
    </row>
    <row r="223" spans="1:6" hidden="1" outlineLevel="1" x14ac:dyDescent="0.45">
      <c r="A223" s="3" t="s">
        <v>221</v>
      </c>
      <c r="B223" s="15">
        <f>IFERROR(VLOOKUP(sum_!A223,강북본부_전년!$A:$B,2,0),0)</f>
        <v>3740091</v>
      </c>
      <c r="C223" s="15">
        <f>IFERROR(VLOOKUP(A223,강남본부_전년!$A:$B,2,0),0)</f>
        <v>114545</v>
      </c>
      <c r="D223" s="15">
        <f>IFERROR(VLOOKUP(A223,강서본부_전년!$A:$B,2,0),0)</f>
        <v>5051817</v>
      </c>
      <c r="E223" s="15">
        <f>IFERROR(VLOOKUP(A223,동부본부_전년!$A:$B,2,0),0)</f>
        <v>16845243</v>
      </c>
      <c r="F223" s="15">
        <f>IFERROR(VLOOKUP(A223,서부본부_전년!$A:$B,2,0),0)</f>
        <v>19013098</v>
      </c>
    </row>
    <row r="224" spans="1:6" hidden="1" outlineLevel="1" x14ac:dyDescent="0.45">
      <c r="A224" s="3" t="s">
        <v>222</v>
      </c>
      <c r="B224" s="15">
        <f>IFERROR(VLOOKUP(sum_!A224,강북본부_전년!$A:$B,2,0),0)</f>
        <v>27029027</v>
      </c>
      <c r="C224" s="15">
        <f>IFERROR(VLOOKUP(A224,강남본부_전년!$A:$B,2,0),0)</f>
        <v>33924934</v>
      </c>
      <c r="D224" s="15">
        <f>IFERROR(VLOOKUP(A224,강서본부_전년!$A:$B,2,0),0)</f>
        <v>51704857</v>
      </c>
      <c r="E224" s="15">
        <f>IFERROR(VLOOKUP(A224,동부본부_전년!$A:$B,2,0),0)</f>
        <v>40924219</v>
      </c>
      <c r="F224" s="15">
        <f>IFERROR(VLOOKUP(A224,서부본부_전년!$A:$B,2,0),0)</f>
        <v>75072001</v>
      </c>
    </row>
    <row r="225" spans="1:6" hidden="1" outlineLevel="1" x14ac:dyDescent="0.45">
      <c r="A225" s="3" t="s">
        <v>223</v>
      </c>
      <c r="B225" s="15">
        <f>IFERROR(VLOOKUP(sum_!A225,강북본부_전년!$A:$B,2,0),0)</f>
        <v>0</v>
      </c>
      <c r="C225" s="15">
        <f>IFERROR(VLOOKUP(A225,강남본부_전년!$A:$B,2,0),0)</f>
        <v>0</v>
      </c>
      <c r="D225" s="15">
        <f>IFERROR(VLOOKUP(A225,강서본부_전년!$A:$B,2,0),0)</f>
        <v>0</v>
      </c>
      <c r="E225" s="15">
        <f>IFERROR(VLOOKUP(A225,동부본부_전년!$A:$B,2,0),0)</f>
        <v>0</v>
      </c>
      <c r="F225" s="15">
        <f>IFERROR(VLOOKUP(A225,서부본부_전년!$A:$B,2,0),0)</f>
        <v>0</v>
      </c>
    </row>
    <row r="226" spans="1:6" hidden="1" outlineLevel="1" x14ac:dyDescent="0.45">
      <c r="A226" s="3" t="s">
        <v>224</v>
      </c>
      <c r="B226" s="15">
        <f>IFERROR(VLOOKUP(sum_!A226,강북본부_전년!$A:$B,2,0),0)</f>
        <v>0</v>
      </c>
      <c r="C226" s="15">
        <f>IFERROR(VLOOKUP(A226,강남본부_전년!$A:$B,2,0),0)</f>
        <v>0</v>
      </c>
      <c r="D226" s="15">
        <f>IFERROR(VLOOKUP(A226,강서본부_전년!$A:$B,2,0),0)</f>
        <v>0</v>
      </c>
      <c r="E226" s="15">
        <f>IFERROR(VLOOKUP(A226,동부본부_전년!$A:$B,2,0),0)</f>
        <v>0</v>
      </c>
      <c r="F226" s="15">
        <f>IFERROR(VLOOKUP(A226,서부본부_전년!$A:$B,2,0),0)</f>
        <v>0</v>
      </c>
    </row>
    <row r="227" spans="1:6" hidden="1" outlineLevel="1" x14ac:dyDescent="0.45">
      <c r="A227" s="2" t="s">
        <v>225</v>
      </c>
      <c r="B227" s="14">
        <f>IFERROR(VLOOKUP(sum_!A227,강북본부_전년!$A:$B,2,0),0)</f>
        <v>0</v>
      </c>
      <c r="C227" s="14">
        <f>IFERROR(VLOOKUP(A227,강남본부_전년!$A:$B,2,0),0)</f>
        <v>0</v>
      </c>
      <c r="D227" s="14">
        <f>IFERROR(VLOOKUP(A227,강서본부_전년!$A:$B,2,0),0)</f>
        <v>0</v>
      </c>
      <c r="E227" s="14">
        <f>IFERROR(VLOOKUP(A227,동부본부_전년!$A:$B,2,0),0)</f>
        <v>0</v>
      </c>
      <c r="F227" s="14">
        <f>IFERROR(VLOOKUP(A227,서부본부_전년!$A:$B,2,0),0)</f>
        <v>0</v>
      </c>
    </row>
    <row r="228" spans="1:6" collapsed="1" x14ac:dyDescent="0.45">
      <c r="A228" s="2" t="s">
        <v>226</v>
      </c>
      <c r="B228" s="14">
        <f>IFERROR(VLOOKUP(sum_!A228,강북본부_전년!$A:$B,2,0),0)</f>
        <v>0</v>
      </c>
      <c r="C228" s="14">
        <f>IFERROR(VLOOKUP(A228,강남본부_전년!$A:$B,2,0),0)</f>
        <v>0</v>
      </c>
      <c r="D228" s="14">
        <f>IFERROR(VLOOKUP(A228,강서본부_전년!$A:$B,2,0),0)</f>
        <v>0</v>
      </c>
      <c r="E228" s="14">
        <f>IFERROR(VLOOKUP(A228,동부본부_전년!$A:$B,2,0),0)</f>
        <v>0</v>
      </c>
      <c r="F228" s="14">
        <f>IFERROR(VLOOKUP(A228,서부본부_전년!$A:$B,2,0),0)</f>
        <v>0</v>
      </c>
    </row>
    <row r="229" spans="1:6" x14ac:dyDescent="0.45">
      <c r="A229" s="2" t="s">
        <v>227</v>
      </c>
      <c r="B229" s="14">
        <f>IFERROR(VLOOKUP(sum_!A229,강북본부_전년!$A:$B,2,0),0)</f>
        <v>-296008</v>
      </c>
      <c r="C229" s="14">
        <f>IFERROR(VLOOKUP(A229,강남본부_전년!$A:$B,2,0),0)</f>
        <v>641510</v>
      </c>
      <c r="D229" s="14">
        <f>IFERROR(VLOOKUP(A229,강서본부_전년!$A:$B,2,0),0)</f>
        <v>-442989</v>
      </c>
      <c r="E229" s="14">
        <f>IFERROR(VLOOKUP(A229,동부본부_전년!$A:$B,2,0),0)</f>
        <v>130262363</v>
      </c>
      <c r="F229" s="14">
        <f>IFERROR(VLOOKUP(A229,서부본부_전년!$A:$B,2,0),0)</f>
        <v>4849275</v>
      </c>
    </row>
    <row r="230" spans="1:6" hidden="1" outlineLevel="1" x14ac:dyDescent="0.45">
      <c r="A230" s="3" t="s">
        <v>228</v>
      </c>
      <c r="B230" s="15">
        <f>IFERROR(VLOOKUP(sum_!A230,강북본부_전년!$A:$B,2,0),0)</f>
        <v>0</v>
      </c>
      <c r="C230" s="15">
        <f>IFERROR(VLOOKUP(A230,강남본부_전년!$A:$B,2,0),0)</f>
        <v>0</v>
      </c>
      <c r="D230" s="15">
        <f>IFERROR(VLOOKUP(A230,강서본부_전년!$A:$B,2,0),0)</f>
        <v>0</v>
      </c>
      <c r="E230" s="15">
        <f>IFERROR(VLOOKUP(A230,동부본부_전년!$A:$B,2,0),0)</f>
        <v>0</v>
      </c>
      <c r="F230" s="15">
        <f>IFERROR(VLOOKUP(A230,서부본부_전년!$A:$B,2,0),0)</f>
        <v>0</v>
      </c>
    </row>
    <row r="231" spans="1:6" hidden="1" outlineLevel="1" x14ac:dyDescent="0.45">
      <c r="A231" s="3" t="s">
        <v>229</v>
      </c>
      <c r="B231" s="15">
        <f>IFERROR(VLOOKUP(sum_!A231,강북본부_전년!$A:$B,2,0),0)</f>
        <v>0</v>
      </c>
      <c r="C231" s="15">
        <f>IFERROR(VLOOKUP(A231,강남본부_전년!$A:$B,2,0),0)</f>
        <v>0</v>
      </c>
      <c r="D231" s="15">
        <f>IFERROR(VLOOKUP(A231,강서본부_전년!$A:$B,2,0),0)</f>
        <v>0</v>
      </c>
      <c r="E231" s="15">
        <f>IFERROR(VLOOKUP(A231,동부본부_전년!$A:$B,2,0),0)</f>
        <v>0</v>
      </c>
      <c r="F231" s="15">
        <f>IFERROR(VLOOKUP(A231,서부본부_전년!$A:$B,2,0),0)</f>
        <v>0</v>
      </c>
    </row>
    <row r="232" spans="1:6" hidden="1" outlineLevel="1" x14ac:dyDescent="0.45">
      <c r="A232" s="3" t="s">
        <v>230</v>
      </c>
      <c r="B232" s="15">
        <f>IFERROR(VLOOKUP(sum_!A232,강북본부_전년!$A:$B,2,0),0)</f>
        <v>0</v>
      </c>
      <c r="C232" s="15">
        <f>IFERROR(VLOOKUP(A232,강남본부_전년!$A:$B,2,0),0)</f>
        <v>0</v>
      </c>
      <c r="D232" s="15">
        <f>IFERROR(VLOOKUP(A232,강서본부_전년!$A:$B,2,0),0)</f>
        <v>0</v>
      </c>
      <c r="E232" s="15">
        <f>IFERROR(VLOOKUP(A232,동부본부_전년!$A:$B,2,0),0)</f>
        <v>0</v>
      </c>
      <c r="F232" s="15">
        <f>IFERROR(VLOOKUP(A232,서부본부_전년!$A:$B,2,0),0)</f>
        <v>0</v>
      </c>
    </row>
    <row r="233" spans="1:6" hidden="1" outlineLevel="1" x14ac:dyDescent="0.45">
      <c r="A233" s="3" t="s">
        <v>231</v>
      </c>
      <c r="B233" s="15">
        <f>IFERROR(VLOOKUP(sum_!A233,강북본부_전년!$A:$B,2,0),0)</f>
        <v>0</v>
      </c>
      <c r="C233" s="15">
        <f>IFERROR(VLOOKUP(A233,강남본부_전년!$A:$B,2,0),0)</f>
        <v>0</v>
      </c>
      <c r="D233" s="15">
        <f>IFERROR(VLOOKUP(A233,강서본부_전년!$A:$B,2,0),0)</f>
        <v>0</v>
      </c>
      <c r="E233" s="15">
        <f>IFERROR(VLOOKUP(A233,동부본부_전년!$A:$B,2,0),0)</f>
        <v>0</v>
      </c>
      <c r="F233" s="15">
        <f>IFERROR(VLOOKUP(A233,서부본부_전년!$A:$B,2,0),0)</f>
        <v>0</v>
      </c>
    </row>
    <row r="234" spans="1:6" hidden="1" outlineLevel="1" x14ac:dyDescent="0.45">
      <c r="A234" s="2" t="s">
        <v>232</v>
      </c>
      <c r="B234" s="14">
        <f>IFERROR(VLOOKUP(sum_!A234,강북본부_전년!$A:$B,2,0),0)</f>
        <v>-296008</v>
      </c>
      <c r="C234" s="14">
        <f>IFERROR(VLOOKUP(A234,강남본부_전년!$A:$B,2,0),0)</f>
        <v>-137490</v>
      </c>
      <c r="D234" s="14">
        <f>IFERROR(VLOOKUP(A234,강서본부_전년!$A:$B,2,0),0)</f>
        <v>-442989</v>
      </c>
      <c r="E234" s="14">
        <f>IFERROR(VLOOKUP(A234,동부본부_전년!$A:$B,2,0),0)</f>
        <v>113300373</v>
      </c>
      <c r="F234" s="14">
        <f>IFERROR(VLOOKUP(A234,서부본부_전년!$A:$B,2,0),0)</f>
        <v>4867457</v>
      </c>
    </row>
    <row r="235" spans="1:6" hidden="1" outlineLevel="1" x14ac:dyDescent="0.45">
      <c r="A235" s="3" t="s">
        <v>233</v>
      </c>
      <c r="B235" s="15">
        <f>IFERROR(VLOOKUP(sum_!A235,강북본부_전년!$A:$B,2,0),0)</f>
        <v>0</v>
      </c>
      <c r="C235" s="15">
        <f>IFERROR(VLOOKUP(A235,강남본부_전년!$A:$B,2,0),0)</f>
        <v>0</v>
      </c>
      <c r="D235" s="15">
        <f>IFERROR(VLOOKUP(A235,강서본부_전년!$A:$B,2,0),0)</f>
        <v>0</v>
      </c>
      <c r="E235" s="15">
        <f>IFERROR(VLOOKUP(A235,동부본부_전년!$A:$B,2,0),0)</f>
        <v>0</v>
      </c>
      <c r="F235" s="15">
        <f>IFERROR(VLOOKUP(A235,서부본부_전년!$A:$B,2,0),0)</f>
        <v>0</v>
      </c>
    </row>
    <row r="236" spans="1:6" hidden="1" outlineLevel="1" x14ac:dyDescent="0.45">
      <c r="A236" s="3" t="s">
        <v>234</v>
      </c>
      <c r="B236" s="15">
        <f>IFERROR(VLOOKUP(sum_!A236,강북본부_전년!$A:$B,2,0),0)</f>
        <v>0</v>
      </c>
      <c r="C236" s="15">
        <f>IFERROR(VLOOKUP(A236,강남본부_전년!$A:$B,2,0),0)</f>
        <v>0</v>
      </c>
      <c r="D236" s="15">
        <f>IFERROR(VLOOKUP(A236,강서본부_전년!$A:$B,2,0),0)</f>
        <v>0</v>
      </c>
      <c r="E236" s="15">
        <f>IFERROR(VLOOKUP(A236,동부본부_전년!$A:$B,2,0),0)</f>
        <v>0</v>
      </c>
      <c r="F236" s="15">
        <f>IFERROR(VLOOKUP(A236,서부본부_전년!$A:$B,2,0),0)</f>
        <v>0</v>
      </c>
    </row>
    <row r="237" spans="1:6" hidden="1" outlineLevel="1" x14ac:dyDescent="0.45">
      <c r="A237" s="2" t="s">
        <v>235</v>
      </c>
      <c r="B237" s="14">
        <f>IFERROR(VLOOKUP(sum_!A237,강북본부_전년!$A:$B,2,0),0)</f>
        <v>0</v>
      </c>
      <c r="C237" s="14">
        <f>IFERROR(VLOOKUP(A237,강남본부_전년!$A:$B,2,0),0)</f>
        <v>779000</v>
      </c>
      <c r="D237" s="14">
        <f>IFERROR(VLOOKUP(A237,강서본부_전년!$A:$B,2,0),0)</f>
        <v>0</v>
      </c>
      <c r="E237" s="14">
        <f>IFERROR(VLOOKUP(A237,동부본부_전년!$A:$B,2,0),0)</f>
        <v>16961990</v>
      </c>
      <c r="F237" s="14">
        <f>IFERROR(VLOOKUP(A237,서부본부_전년!$A:$B,2,0),0)</f>
        <v>-18182</v>
      </c>
    </row>
    <row r="238" spans="1:6" collapsed="1" x14ac:dyDescent="0.45">
      <c r="A238" s="2" t="s">
        <v>236</v>
      </c>
      <c r="B238" s="14">
        <f>IFERROR(VLOOKUP(sum_!A238,강북본부_전년!$A:$B,2,0),0)</f>
        <v>241333</v>
      </c>
      <c r="C238" s="14">
        <f>IFERROR(VLOOKUP(A238,강남본부_전년!$A:$B,2,0),0)</f>
        <v>0</v>
      </c>
      <c r="D238" s="14">
        <f>IFERROR(VLOOKUP(A238,강서본부_전년!$A:$B,2,0),0)</f>
        <v>0</v>
      </c>
      <c r="E238" s="14">
        <f>IFERROR(VLOOKUP(A238,동부본부_전년!$A:$B,2,0),0)</f>
        <v>0</v>
      </c>
      <c r="F238" s="14">
        <f>IFERROR(VLOOKUP(A238,서부본부_전년!$A:$B,2,0),0)</f>
        <v>0</v>
      </c>
    </row>
    <row r="239" spans="1:6" x14ac:dyDescent="0.45">
      <c r="A239" s="51" t="s">
        <v>340</v>
      </c>
      <c r="B239" s="52">
        <f>IFERROR(VLOOKUP(sum_!A239,강북본부_전년!$A:$B,2,0),0)</f>
        <v>548545801</v>
      </c>
      <c r="C239" s="52">
        <f>IFERROR(VLOOKUP(A239,강남본부_전년!$A:$B,2,0),0)</f>
        <v>394159862</v>
      </c>
      <c r="D239" s="52">
        <f>IFERROR(VLOOKUP(A239,강서본부_전년!$A:$B,2,0),0)</f>
        <v>226122330</v>
      </c>
      <c r="E239" s="52">
        <f>IFERROR(VLOOKUP(A239,동부본부_전년!$A:$B,2,0),0)</f>
        <v>475814744</v>
      </c>
      <c r="F239" s="52">
        <f>IFERROR(VLOOKUP(A239,서부본부_전년!$A:$B,2,0),0)</f>
        <v>205234722</v>
      </c>
    </row>
  </sheetData>
  <mergeCells count="6">
    <mergeCell ref="F1:F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A093-7258-4B49-B090-6D549AF657EF}">
  <dimension ref="A1:H123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238</v>
      </c>
      <c r="D1" s="9" t="s">
        <v>239</v>
      </c>
      <c r="E1" s="9" t="s">
        <v>240</v>
      </c>
      <c r="F1" s="9" t="s">
        <v>241</v>
      </c>
      <c r="G1" s="9" t="s">
        <v>242</v>
      </c>
      <c r="H1" s="9" t="s">
        <v>243</v>
      </c>
    </row>
    <row r="2" spans="1:8" ht="12.5" customHeight="1" x14ac:dyDescent="0.45">
      <c r="A2" s="76" t="s">
        <v>0</v>
      </c>
      <c r="B2" s="76" t="s">
        <v>250</v>
      </c>
      <c r="C2" s="9" t="s">
        <v>244</v>
      </c>
      <c r="D2" s="9" t="s">
        <v>245</v>
      </c>
      <c r="E2" s="9" t="s">
        <v>246</v>
      </c>
      <c r="F2" s="9" t="s">
        <v>247</v>
      </c>
      <c r="G2" s="9" t="s">
        <v>248</v>
      </c>
      <c r="H2" s="9" t="s">
        <v>249</v>
      </c>
    </row>
    <row r="3" spans="1:8" ht="12.5" customHeight="1" x14ac:dyDescent="0.45">
      <c r="A3" s="10" t="s">
        <v>251</v>
      </c>
      <c r="B3" s="11">
        <v>-548545801</v>
      </c>
      <c r="C3" s="11">
        <v>-109629485</v>
      </c>
      <c r="D3" s="11">
        <v>-195363704</v>
      </c>
      <c r="E3" s="11">
        <v>-146151765</v>
      </c>
      <c r="F3" s="11">
        <v>-22530651</v>
      </c>
      <c r="G3" s="11">
        <v>-17827554</v>
      </c>
      <c r="H3" s="11">
        <v>-57042642</v>
      </c>
    </row>
    <row r="4" spans="1:8" ht="12.5" customHeight="1" x14ac:dyDescent="0.45">
      <c r="A4" s="10" t="s">
        <v>1</v>
      </c>
      <c r="B4" s="11">
        <v>3519954340</v>
      </c>
      <c r="C4" s="11">
        <v>18445</v>
      </c>
      <c r="D4" s="11">
        <v>1339204595</v>
      </c>
      <c r="E4" s="11">
        <v>1612637800</v>
      </c>
      <c r="F4" s="11">
        <v>328995184</v>
      </c>
      <c r="G4" s="11">
        <v>133181660</v>
      </c>
      <c r="H4" s="11">
        <v>105916656</v>
      </c>
    </row>
    <row r="5" spans="1:8" ht="12.5" customHeight="1" x14ac:dyDescent="0.45">
      <c r="A5" s="10" t="s">
        <v>2</v>
      </c>
      <c r="B5" s="11">
        <v>1565343368</v>
      </c>
      <c r="C5" s="11">
        <v>0</v>
      </c>
      <c r="D5" s="11">
        <v>705179757</v>
      </c>
      <c r="E5" s="11">
        <v>852435454</v>
      </c>
      <c r="F5" s="11">
        <v>525729</v>
      </c>
      <c r="G5" s="11">
        <v>119792</v>
      </c>
      <c r="H5" s="11">
        <v>7082636</v>
      </c>
    </row>
    <row r="6" spans="1:8" ht="12.5" customHeight="1" x14ac:dyDescent="0.45">
      <c r="A6" s="10" t="s">
        <v>3</v>
      </c>
      <c r="B6" s="11">
        <v>4788727</v>
      </c>
      <c r="C6" s="11">
        <v>0</v>
      </c>
      <c r="D6" s="11">
        <v>2153909</v>
      </c>
      <c r="E6" s="11">
        <v>2634818</v>
      </c>
      <c r="F6" s="11">
        <v>0</v>
      </c>
      <c r="G6" s="11">
        <v>0</v>
      </c>
      <c r="H6" s="11">
        <v>0</v>
      </c>
    </row>
    <row r="7" spans="1:8" ht="12.5" customHeight="1" x14ac:dyDescent="0.45">
      <c r="A7" s="10" t="s">
        <v>6</v>
      </c>
      <c r="B7" s="11">
        <v>1478544454</v>
      </c>
      <c r="C7" s="11">
        <v>0</v>
      </c>
      <c r="D7" s="11">
        <v>682789120</v>
      </c>
      <c r="E7" s="11">
        <v>788034177</v>
      </c>
      <c r="F7" s="11">
        <v>525729</v>
      </c>
      <c r="G7" s="11">
        <v>119792</v>
      </c>
      <c r="H7" s="11">
        <v>7075636</v>
      </c>
    </row>
    <row r="8" spans="1:8" ht="12.5" customHeight="1" x14ac:dyDescent="0.45">
      <c r="A8" s="10" t="s">
        <v>7</v>
      </c>
      <c r="B8" s="11">
        <v>35090026</v>
      </c>
      <c r="C8" s="11">
        <v>0</v>
      </c>
      <c r="D8" s="11">
        <v>9672001</v>
      </c>
      <c r="E8" s="11">
        <v>25411025</v>
      </c>
      <c r="F8" s="11">
        <v>0</v>
      </c>
      <c r="G8" s="11">
        <v>0</v>
      </c>
      <c r="H8" s="11">
        <v>7000</v>
      </c>
    </row>
    <row r="9" spans="1:8" ht="12.5" customHeight="1" x14ac:dyDescent="0.45">
      <c r="A9" s="10" t="s">
        <v>9</v>
      </c>
      <c r="B9" s="11">
        <v>46920161</v>
      </c>
      <c r="C9" s="11">
        <v>0</v>
      </c>
      <c r="D9" s="11">
        <v>10564727</v>
      </c>
      <c r="E9" s="11">
        <v>36355434</v>
      </c>
      <c r="F9" s="11">
        <v>0</v>
      </c>
      <c r="G9" s="11">
        <v>0</v>
      </c>
      <c r="H9" s="11">
        <v>0</v>
      </c>
    </row>
    <row r="10" spans="1:8" ht="12.5" customHeight="1" x14ac:dyDescent="0.45">
      <c r="A10" s="10" t="s">
        <v>11</v>
      </c>
      <c r="B10" s="11">
        <v>1954610972</v>
      </c>
      <c r="C10" s="11">
        <v>18445</v>
      </c>
      <c r="D10" s="11">
        <v>634024838</v>
      </c>
      <c r="E10" s="11">
        <v>760202346</v>
      </c>
      <c r="F10" s="11">
        <v>328469455</v>
      </c>
      <c r="G10" s="11">
        <v>133061868</v>
      </c>
      <c r="H10" s="11">
        <v>98834020</v>
      </c>
    </row>
    <row r="11" spans="1:8" ht="12.5" customHeight="1" x14ac:dyDescent="0.45">
      <c r="A11" s="10" t="s">
        <v>12</v>
      </c>
      <c r="B11" s="11">
        <v>634622031</v>
      </c>
      <c r="C11" s="11">
        <v>0</v>
      </c>
      <c r="D11" s="11">
        <v>260356402</v>
      </c>
      <c r="E11" s="11">
        <v>369718407</v>
      </c>
      <c r="F11" s="11">
        <v>-3440055</v>
      </c>
      <c r="G11" s="11">
        <v>-160278</v>
      </c>
      <c r="H11" s="11">
        <v>8147555</v>
      </c>
    </row>
    <row r="12" spans="1:8" ht="12.5" customHeight="1" x14ac:dyDescent="0.45">
      <c r="A12" s="10" t="s">
        <v>13</v>
      </c>
      <c r="B12" s="11">
        <v>14845454</v>
      </c>
      <c r="C12" s="11">
        <v>0</v>
      </c>
      <c r="D12" s="11">
        <v>0</v>
      </c>
      <c r="E12" s="11">
        <v>14845454</v>
      </c>
      <c r="F12" s="11">
        <v>0</v>
      </c>
      <c r="G12" s="11">
        <v>0</v>
      </c>
      <c r="H12" s="11">
        <v>0</v>
      </c>
    </row>
    <row r="13" spans="1:8" ht="12.5" customHeight="1" x14ac:dyDescent="0.45">
      <c r="A13" s="10" t="s">
        <v>14</v>
      </c>
      <c r="B13" s="11">
        <v>576871331</v>
      </c>
      <c r="C13" s="11">
        <v>18445</v>
      </c>
      <c r="D13" s="11">
        <v>230737456</v>
      </c>
      <c r="E13" s="11">
        <v>215994813</v>
      </c>
      <c r="F13" s="11">
        <v>75305917</v>
      </c>
      <c r="G13" s="11">
        <v>33222487</v>
      </c>
      <c r="H13" s="11">
        <v>21592213</v>
      </c>
    </row>
    <row r="14" spans="1:8" ht="12.5" customHeight="1" x14ac:dyDescent="0.45">
      <c r="A14" s="10" t="s">
        <v>15</v>
      </c>
      <c r="B14" s="11">
        <v>10744255</v>
      </c>
      <c r="C14" s="11">
        <v>0</v>
      </c>
      <c r="D14" s="11">
        <v>5465589</v>
      </c>
      <c r="E14" s="11">
        <v>5275666</v>
      </c>
      <c r="F14" s="11">
        <v>3000</v>
      </c>
      <c r="G14" s="11">
        <v>0</v>
      </c>
      <c r="H14" s="11">
        <v>0</v>
      </c>
    </row>
    <row r="15" spans="1:8" ht="12.5" customHeight="1" x14ac:dyDescent="0.45">
      <c r="A15" s="10" t="s">
        <v>16</v>
      </c>
      <c r="B15" s="11">
        <v>206672553</v>
      </c>
      <c r="C15" s="11">
        <v>0</v>
      </c>
      <c r="D15" s="11">
        <v>61039004</v>
      </c>
      <c r="E15" s="11">
        <v>76539297</v>
      </c>
      <c r="F15" s="11">
        <v>0</v>
      </c>
      <c r="G15" s="11">
        <v>0</v>
      </c>
      <c r="H15" s="11">
        <v>69094252</v>
      </c>
    </row>
    <row r="16" spans="1:8" ht="12.5" customHeight="1" x14ac:dyDescent="0.45">
      <c r="A16" s="10" t="s">
        <v>20</v>
      </c>
      <c r="B16" s="11">
        <v>356600252</v>
      </c>
      <c r="C16" s="11">
        <v>0</v>
      </c>
      <c r="D16" s="11">
        <v>0</v>
      </c>
      <c r="E16" s="11">
        <v>0</v>
      </c>
      <c r="F16" s="11">
        <v>256600593</v>
      </c>
      <c r="G16" s="11">
        <v>99999659</v>
      </c>
      <c r="H16" s="11">
        <v>0</v>
      </c>
    </row>
    <row r="17" spans="1:8" ht="12.5" customHeight="1" x14ac:dyDescent="0.45">
      <c r="A17" s="10" t="s">
        <v>21</v>
      </c>
      <c r="B17" s="11">
        <v>154255096</v>
      </c>
      <c r="C17" s="11">
        <v>0</v>
      </c>
      <c r="D17" s="11">
        <v>76426387</v>
      </c>
      <c r="E17" s="11">
        <v>77828709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1805765729</v>
      </c>
      <c r="C18" s="11">
        <v>0</v>
      </c>
      <c r="D18" s="11">
        <v>800718145</v>
      </c>
      <c r="E18" s="11">
        <v>990901402</v>
      </c>
      <c r="F18" s="11">
        <v>0</v>
      </c>
      <c r="G18" s="11">
        <v>0</v>
      </c>
      <c r="H18" s="11">
        <v>14146182</v>
      </c>
    </row>
    <row r="19" spans="1:8" ht="12.5" customHeight="1" x14ac:dyDescent="0.45">
      <c r="A19" s="10" t="s">
        <v>24</v>
      </c>
      <c r="B19" s="11">
        <v>1805765729</v>
      </c>
      <c r="C19" s="11">
        <v>0</v>
      </c>
      <c r="D19" s="11">
        <v>800718145</v>
      </c>
      <c r="E19" s="11">
        <v>990901402</v>
      </c>
      <c r="F19" s="11">
        <v>0</v>
      </c>
      <c r="G19" s="11">
        <v>0</v>
      </c>
      <c r="H19" s="11">
        <v>14146182</v>
      </c>
    </row>
    <row r="20" spans="1:8" ht="12.5" customHeight="1" x14ac:dyDescent="0.45">
      <c r="A20" s="10" t="s">
        <v>25</v>
      </c>
      <c r="B20" s="11">
        <v>1714188611</v>
      </c>
      <c r="C20" s="11">
        <v>18445</v>
      </c>
      <c r="D20" s="11">
        <v>538486450</v>
      </c>
      <c r="E20" s="11">
        <v>621736398</v>
      </c>
      <c r="F20" s="11">
        <v>328995184</v>
      </c>
      <c r="G20" s="11">
        <v>133181660</v>
      </c>
      <c r="H20" s="11">
        <v>91770474</v>
      </c>
    </row>
    <row r="21" spans="1:8" ht="12.5" customHeight="1" x14ac:dyDescent="0.45">
      <c r="A21" s="10" t="s">
        <v>26</v>
      </c>
      <c r="B21" s="11">
        <v>2262734412</v>
      </c>
      <c r="C21" s="11">
        <v>109647930</v>
      </c>
      <c r="D21" s="11">
        <v>733850154</v>
      </c>
      <c r="E21" s="11">
        <v>767888163</v>
      </c>
      <c r="F21" s="11">
        <v>351525835</v>
      </c>
      <c r="G21" s="11">
        <v>151009214</v>
      </c>
      <c r="H21" s="11">
        <v>148813116</v>
      </c>
    </row>
    <row r="22" spans="1:8" ht="12.5" customHeight="1" x14ac:dyDescent="0.45">
      <c r="A22" s="10" t="s">
        <v>27</v>
      </c>
      <c r="B22" s="11">
        <v>11350800</v>
      </c>
      <c r="C22" s="11">
        <v>11350800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</row>
    <row r="23" spans="1:8" ht="12.5" customHeight="1" x14ac:dyDescent="0.45">
      <c r="A23" s="10" t="s">
        <v>28</v>
      </c>
      <c r="B23" s="11">
        <v>1015448540</v>
      </c>
      <c r="C23" s="11">
        <v>35062150</v>
      </c>
      <c r="D23" s="11">
        <v>342327570</v>
      </c>
      <c r="E23" s="11">
        <v>334181090</v>
      </c>
      <c r="F23" s="11">
        <v>163677000</v>
      </c>
      <c r="G23" s="11">
        <v>75984080</v>
      </c>
      <c r="H23" s="11">
        <v>64216650</v>
      </c>
    </row>
    <row r="24" spans="1:8" ht="12.5" customHeight="1" x14ac:dyDescent="0.45">
      <c r="A24" s="10" t="s">
        <v>29</v>
      </c>
      <c r="B24" s="11">
        <v>56270260</v>
      </c>
      <c r="C24" s="11">
        <v>25068670</v>
      </c>
      <c r="D24" s="11">
        <v>15087790</v>
      </c>
      <c r="E24" s="11">
        <v>6968190</v>
      </c>
      <c r="F24" s="11">
        <v>9145610</v>
      </c>
      <c r="G24" s="11">
        <v>0</v>
      </c>
      <c r="H24" s="11">
        <v>0</v>
      </c>
    </row>
    <row r="25" spans="1:8" ht="12.5" customHeight="1" x14ac:dyDescent="0.45">
      <c r="A25" s="10" t="s">
        <v>30</v>
      </c>
      <c r="B25" s="11">
        <v>10287600</v>
      </c>
      <c r="C25" s="11">
        <v>4520980</v>
      </c>
      <c r="D25" s="11">
        <v>2789240</v>
      </c>
      <c r="E25" s="11">
        <v>1253520</v>
      </c>
      <c r="F25" s="11">
        <v>1723860</v>
      </c>
      <c r="G25" s="11">
        <v>0</v>
      </c>
      <c r="H25" s="11">
        <v>0</v>
      </c>
    </row>
    <row r="26" spans="1:8" ht="12.5" customHeight="1" x14ac:dyDescent="0.45">
      <c r="A26" s="10" t="s">
        <v>31</v>
      </c>
      <c r="B26" s="11">
        <v>2100000</v>
      </c>
      <c r="C26" s="11">
        <v>700000</v>
      </c>
      <c r="D26" s="11">
        <v>700000</v>
      </c>
      <c r="E26" s="11">
        <v>0</v>
      </c>
      <c r="F26" s="11">
        <v>700000</v>
      </c>
      <c r="G26" s="11">
        <v>0</v>
      </c>
      <c r="H26" s="11">
        <v>0</v>
      </c>
    </row>
    <row r="27" spans="1:8" ht="12.5" customHeight="1" x14ac:dyDescent="0.45">
      <c r="A27" s="10" t="s">
        <v>32</v>
      </c>
      <c r="B27" s="11">
        <v>807740</v>
      </c>
      <c r="C27" s="11">
        <v>0</v>
      </c>
      <c r="D27" s="11">
        <v>0</v>
      </c>
      <c r="E27" s="11">
        <v>807740</v>
      </c>
      <c r="F27" s="11">
        <v>0</v>
      </c>
      <c r="G27" s="11">
        <v>0</v>
      </c>
      <c r="H27" s="11">
        <v>0</v>
      </c>
    </row>
    <row r="28" spans="1:8" ht="12.5" customHeight="1" x14ac:dyDescent="0.45">
      <c r="A28" s="10" t="s">
        <v>33</v>
      </c>
      <c r="B28" s="11">
        <v>1379860</v>
      </c>
      <c r="C28" s="11">
        <v>451490</v>
      </c>
      <c r="D28" s="11">
        <v>520920</v>
      </c>
      <c r="E28" s="11">
        <v>261010</v>
      </c>
      <c r="F28" s="11">
        <v>146440</v>
      </c>
      <c r="G28" s="11">
        <v>0</v>
      </c>
      <c r="H28" s="11">
        <v>0</v>
      </c>
    </row>
    <row r="29" spans="1:8" ht="12.5" customHeight="1" x14ac:dyDescent="0.45">
      <c r="A29" s="10" t="s">
        <v>34</v>
      </c>
      <c r="B29" s="11">
        <v>908020</v>
      </c>
      <c r="C29" s="11">
        <v>428020</v>
      </c>
      <c r="D29" s="11">
        <v>0</v>
      </c>
      <c r="E29" s="11">
        <v>480000</v>
      </c>
      <c r="F29" s="11">
        <v>0</v>
      </c>
      <c r="G29" s="11">
        <v>0</v>
      </c>
      <c r="H29" s="11">
        <v>0</v>
      </c>
    </row>
    <row r="30" spans="1:8" ht="12.5" customHeight="1" x14ac:dyDescent="0.45">
      <c r="A30" s="10" t="s">
        <v>41</v>
      </c>
      <c r="B30" s="11">
        <v>2250000</v>
      </c>
      <c r="C30" s="11">
        <v>930000</v>
      </c>
      <c r="D30" s="11">
        <v>620000</v>
      </c>
      <c r="E30" s="11">
        <v>390000</v>
      </c>
      <c r="F30" s="11">
        <v>310000</v>
      </c>
      <c r="G30" s="11">
        <v>0</v>
      </c>
      <c r="H30" s="11">
        <v>0</v>
      </c>
    </row>
    <row r="31" spans="1:8" ht="12.5" customHeight="1" x14ac:dyDescent="0.45">
      <c r="A31" s="10" t="s">
        <v>46</v>
      </c>
      <c r="B31" s="11">
        <v>720468240</v>
      </c>
      <c r="C31" s="11">
        <v>2403940</v>
      </c>
      <c r="D31" s="11">
        <v>251135520</v>
      </c>
      <c r="E31" s="11">
        <v>249945620</v>
      </c>
      <c r="F31" s="11">
        <v>119211310</v>
      </c>
      <c r="G31" s="11">
        <v>59170900</v>
      </c>
      <c r="H31" s="11">
        <v>38600950</v>
      </c>
    </row>
    <row r="32" spans="1:8" ht="12.5" customHeight="1" x14ac:dyDescent="0.45">
      <c r="A32" s="10" t="s">
        <v>47</v>
      </c>
      <c r="B32" s="11">
        <v>122350680</v>
      </c>
      <c r="C32" s="11">
        <v>404050</v>
      </c>
      <c r="D32" s="11">
        <v>43291560</v>
      </c>
      <c r="E32" s="11">
        <v>43075980</v>
      </c>
      <c r="F32" s="11">
        <v>20283110</v>
      </c>
      <c r="G32" s="11">
        <v>8658640</v>
      </c>
      <c r="H32" s="11">
        <v>6637340</v>
      </c>
    </row>
    <row r="33" spans="1:8" ht="12.5" customHeight="1" x14ac:dyDescent="0.45">
      <c r="A33" s="10" t="s">
        <v>48</v>
      </c>
      <c r="B33" s="11">
        <v>24493570</v>
      </c>
      <c r="C33" s="11">
        <v>0</v>
      </c>
      <c r="D33" s="11">
        <v>9187110</v>
      </c>
      <c r="E33" s="11">
        <v>9400000</v>
      </c>
      <c r="F33" s="11">
        <v>3400000</v>
      </c>
      <c r="G33" s="11">
        <v>1706460</v>
      </c>
      <c r="H33" s="11">
        <v>800000</v>
      </c>
    </row>
    <row r="34" spans="1:8" ht="12.5" customHeight="1" x14ac:dyDescent="0.45">
      <c r="A34" s="10" t="s">
        <v>49</v>
      </c>
      <c r="B34" s="11">
        <v>51035000</v>
      </c>
      <c r="C34" s="11">
        <v>155000</v>
      </c>
      <c r="D34" s="11">
        <v>17910000</v>
      </c>
      <c r="E34" s="11">
        <v>17885000</v>
      </c>
      <c r="F34" s="11">
        <v>8160000</v>
      </c>
      <c r="G34" s="11">
        <v>4290000</v>
      </c>
      <c r="H34" s="11">
        <v>2635000</v>
      </c>
    </row>
    <row r="35" spans="1:8" ht="12.5" customHeight="1" x14ac:dyDescent="0.45">
      <c r="A35" s="10" t="s">
        <v>52</v>
      </c>
      <c r="B35" s="11">
        <v>2869810</v>
      </c>
      <c r="C35" s="11">
        <v>0</v>
      </c>
      <c r="D35" s="11">
        <v>633200</v>
      </c>
      <c r="E35" s="11">
        <v>2065330</v>
      </c>
      <c r="F35" s="11">
        <v>171280</v>
      </c>
      <c r="G35" s="11">
        <v>0</v>
      </c>
      <c r="H35" s="11">
        <v>0</v>
      </c>
    </row>
    <row r="36" spans="1:8" ht="12.5" customHeight="1" x14ac:dyDescent="0.45">
      <c r="A36" s="10" t="s">
        <v>53</v>
      </c>
      <c r="B36" s="11">
        <v>15543360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15543360</v>
      </c>
    </row>
    <row r="37" spans="1:8" ht="12.5" customHeight="1" x14ac:dyDescent="0.45">
      <c r="A37" s="10" t="s">
        <v>56</v>
      </c>
      <c r="B37" s="11">
        <v>2284400</v>
      </c>
      <c r="C37" s="11">
        <v>0</v>
      </c>
      <c r="D37" s="11">
        <v>452230</v>
      </c>
      <c r="E37" s="11">
        <v>848700</v>
      </c>
      <c r="F37" s="11">
        <v>425390</v>
      </c>
      <c r="G37" s="11">
        <v>558080</v>
      </c>
      <c r="H37" s="11">
        <v>0</v>
      </c>
    </row>
    <row r="38" spans="1:8" ht="12.5" customHeight="1" x14ac:dyDescent="0.45">
      <c r="A38" s="10" t="s">
        <v>58</v>
      </c>
      <c r="B38" s="11">
        <v>2400000</v>
      </c>
      <c r="C38" s="11">
        <v>0</v>
      </c>
      <c r="D38" s="11">
        <v>0</v>
      </c>
      <c r="E38" s="11">
        <v>800000</v>
      </c>
      <c r="F38" s="11">
        <v>0</v>
      </c>
      <c r="G38" s="11">
        <v>1600000</v>
      </c>
      <c r="H38" s="11">
        <v>0</v>
      </c>
    </row>
    <row r="39" spans="1:8" ht="12.5" customHeight="1" x14ac:dyDescent="0.45">
      <c r="A39" s="10" t="s">
        <v>61</v>
      </c>
      <c r="B39" s="11">
        <v>365808980</v>
      </c>
      <c r="C39" s="11">
        <v>20373740</v>
      </c>
      <c r="D39" s="11">
        <v>120453770</v>
      </c>
      <c r="E39" s="11">
        <v>132292940</v>
      </c>
      <c r="F39" s="11">
        <v>57152800</v>
      </c>
      <c r="G39" s="11">
        <v>16140240</v>
      </c>
      <c r="H39" s="11">
        <v>19395490</v>
      </c>
    </row>
    <row r="40" spans="1:8" ht="12.5" customHeight="1" x14ac:dyDescent="0.45">
      <c r="A40" s="10" t="s">
        <v>62</v>
      </c>
      <c r="B40" s="11">
        <v>54859280</v>
      </c>
      <c r="C40" s="11">
        <v>19173740</v>
      </c>
      <c r="D40" s="11">
        <v>17380060</v>
      </c>
      <c r="E40" s="11">
        <v>9277680</v>
      </c>
      <c r="F40" s="11">
        <v>9027800</v>
      </c>
      <c r="G40" s="11">
        <v>0</v>
      </c>
      <c r="H40" s="11">
        <v>0</v>
      </c>
    </row>
    <row r="41" spans="1:8" ht="12.5" customHeight="1" x14ac:dyDescent="0.45">
      <c r="A41" s="10" t="s">
        <v>66</v>
      </c>
      <c r="B41" s="11">
        <v>309333560</v>
      </c>
      <c r="C41" s="11">
        <v>1200000</v>
      </c>
      <c r="D41" s="11">
        <v>103073710</v>
      </c>
      <c r="E41" s="11">
        <v>123015260</v>
      </c>
      <c r="F41" s="11">
        <v>48125000</v>
      </c>
      <c r="G41" s="11">
        <v>16140240</v>
      </c>
      <c r="H41" s="11">
        <v>17779350</v>
      </c>
    </row>
    <row r="42" spans="1:8" ht="12.5" customHeight="1" x14ac:dyDescent="0.45">
      <c r="A42" s="10" t="s">
        <v>67</v>
      </c>
      <c r="B42" s="11">
        <v>1616140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1616140</v>
      </c>
    </row>
    <row r="43" spans="1:8" ht="12.5" customHeight="1" x14ac:dyDescent="0.45">
      <c r="A43" s="10" t="s">
        <v>69</v>
      </c>
      <c r="B43" s="11">
        <v>116922688</v>
      </c>
      <c r="C43" s="11">
        <v>5610623</v>
      </c>
      <c r="D43" s="11">
        <v>37151780</v>
      </c>
      <c r="E43" s="11">
        <v>38288564</v>
      </c>
      <c r="F43" s="11">
        <v>18352763</v>
      </c>
      <c r="G43" s="11">
        <v>8051886</v>
      </c>
      <c r="H43" s="11">
        <v>9467072</v>
      </c>
    </row>
    <row r="44" spans="1:8" ht="12.5" customHeight="1" x14ac:dyDescent="0.45">
      <c r="A44" s="10" t="s">
        <v>70</v>
      </c>
      <c r="B44" s="11">
        <v>116922688</v>
      </c>
      <c r="C44" s="11">
        <v>5610623</v>
      </c>
      <c r="D44" s="11">
        <v>37151780</v>
      </c>
      <c r="E44" s="11">
        <v>38288564</v>
      </c>
      <c r="F44" s="11">
        <v>18352763</v>
      </c>
      <c r="G44" s="11">
        <v>8051886</v>
      </c>
      <c r="H44" s="11">
        <v>9467072</v>
      </c>
    </row>
    <row r="45" spans="1:8" ht="12.5" customHeight="1" x14ac:dyDescent="0.45">
      <c r="A45" s="10" t="s">
        <v>71</v>
      </c>
      <c r="B45" s="11">
        <v>17400000</v>
      </c>
      <c r="C45" s="11">
        <v>1000000</v>
      </c>
      <c r="D45" s="11">
        <v>2000000</v>
      </c>
      <c r="E45" s="11">
        <v>7900000</v>
      </c>
      <c r="F45" s="11">
        <v>3500000</v>
      </c>
      <c r="G45" s="11">
        <v>1000000</v>
      </c>
      <c r="H45" s="11">
        <v>2000000</v>
      </c>
    </row>
    <row r="46" spans="1:8" ht="12.5" customHeight="1" x14ac:dyDescent="0.45">
      <c r="A46" s="10" t="s">
        <v>252</v>
      </c>
      <c r="B46" s="11">
        <v>17400000</v>
      </c>
      <c r="C46" s="11">
        <v>1000000</v>
      </c>
      <c r="D46" s="11">
        <v>2000000</v>
      </c>
      <c r="E46" s="11">
        <v>7900000</v>
      </c>
      <c r="F46" s="11">
        <v>3500000</v>
      </c>
      <c r="G46" s="11">
        <v>1000000</v>
      </c>
      <c r="H46" s="11">
        <v>2000000</v>
      </c>
    </row>
    <row r="47" spans="1:8" ht="12.5" customHeight="1" x14ac:dyDescent="0.45">
      <c r="A47" s="10" t="s">
        <v>72</v>
      </c>
      <c r="B47" s="11">
        <v>326875641</v>
      </c>
      <c r="C47" s="11">
        <v>6978321</v>
      </c>
      <c r="D47" s="11">
        <v>111333180</v>
      </c>
      <c r="E47" s="11">
        <v>105333672</v>
      </c>
      <c r="F47" s="11">
        <v>42714499</v>
      </c>
      <c r="G47" s="11">
        <v>16869368</v>
      </c>
      <c r="H47" s="11">
        <v>43646601</v>
      </c>
    </row>
    <row r="48" spans="1:8" ht="12.5" customHeight="1" x14ac:dyDescent="0.45">
      <c r="A48" s="10" t="s">
        <v>74</v>
      </c>
      <c r="B48" s="11">
        <v>9920084</v>
      </c>
      <c r="C48" s="11">
        <v>441505</v>
      </c>
      <c r="D48" s="11">
        <v>3290260</v>
      </c>
      <c r="E48" s="11">
        <v>3305024</v>
      </c>
      <c r="F48" s="11">
        <v>1523100</v>
      </c>
      <c r="G48" s="11">
        <v>613450</v>
      </c>
      <c r="H48" s="11">
        <v>746745</v>
      </c>
    </row>
    <row r="49" spans="1:8" ht="12.5" customHeight="1" x14ac:dyDescent="0.45">
      <c r="A49" s="10" t="s">
        <v>75</v>
      </c>
      <c r="B49" s="11">
        <v>54772930</v>
      </c>
      <c r="C49" s="11">
        <v>2628320</v>
      </c>
      <c r="D49" s="11">
        <v>17403910</v>
      </c>
      <c r="E49" s="11">
        <v>17936440</v>
      </c>
      <c r="F49" s="11">
        <v>8597430</v>
      </c>
      <c r="G49" s="11">
        <v>3771940</v>
      </c>
      <c r="H49" s="11">
        <v>4434890</v>
      </c>
    </row>
    <row r="50" spans="1:8" ht="12.5" customHeight="1" x14ac:dyDescent="0.45">
      <c r="A50" s="10" t="s">
        <v>76</v>
      </c>
      <c r="B50" s="11">
        <v>53248650</v>
      </c>
      <c r="C50" s="11">
        <v>1790100</v>
      </c>
      <c r="D50" s="11">
        <v>18080890</v>
      </c>
      <c r="E50" s="11">
        <v>17313150</v>
      </c>
      <c r="F50" s="11">
        <v>8753790</v>
      </c>
      <c r="G50" s="11">
        <v>3869500</v>
      </c>
      <c r="H50" s="11">
        <v>3441220</v>
      </c>
    </row>
    <row r="51" spans="1:8" ht="12.5" customHeight="1" x14ac:dyDescent="0.45">
      <c r="A51" s="10" t="s">
        <v>77</v>
      </c>
      <c r="B51" s="11">
        <v>20081738</v>
      </c>
      <c r="C51" s="11">
        <v>893759</v>
      </c>
      <c r="D51" s="11">
        <v>6660646</v>
      </c>
      <c r="E51" s="11">
        <v>6690528</v>
      </c>
      <c r="F51" s="11">
        <v>3083291</v>
      </c>
      <c r="G51" s="11">
        <v>1241840</v>
      </c>
      <c r="H51" s="11">
        <v>1511674</v>
      </c>
    </row>
    <row r="52" spans="1:8" ht="12.5" customHeight="1" x14ac:dyDescent="0.45">
      <c r="A52" s="10" t="s">
        <v>79</v>
      </c>
      <c r="B52" s="11">
        <v>82877309</v>
      </c>
      <c r="C52" s="11">
        <v>0</v>
      </c>
      <c r="D52" s="11">
        <v>38085309</v>
      </c>
      <c r="E52" s="11">
        <v>34377750</v>
      </c>
      <c r="F52" s="11">
        <v>8680250</v>
      </c>
      <c r="G52" s="11">
        <v>1734000</v>
      </c>
      <c r="H52" s="11">
        <v>0</v>
      </c>
    </row>
    <row r="53" spans="1:8" ht="12.5" customHeight="1" x14ac:dyDescent="0.45">
      <c r="A53" s="10" t="s">
        <v>80</v>
      </c>
      <c r="B53" s="11">
        <v>6550000</v>
      </c>
      <c r="C53" s="11">
        <v>200000</v>
      </c>
      <c r="D53" s="11">
        <v>1400000</v>
      </c>
      <c r="E53" s="11">
        <v>1700000</v>
      </c>
      <c r="F53" s="11">
        <v>800000</v>
      </c>
      <c r="G53" s="11">
        <v>1700000</v>
      </c>
      <c r="H53" s="11">
        <v>750000</v>
      </c>
    </row>
    <row r="54" spans="1:8" ht="12.5" customHeight="1" x14ac:dyDescent="0.45">
      <c r="A54" s="10" t="s">
        <v>81</v>
      </c>
      <c r="B54" s="11">
        <v>121000</v>
      </c>
      <c r="C54" s="11">
        <v>121000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</row>
    <row r="55" spans="1:8" ht="12.5" customHeight="1" x14ac:dyDescent="0.45">
      <c r="A55" s="10" t="s">
        <v>82</v>
      </c>
      <c r="B55" s="11">
        <v>1681291</v>
      </c>
      <c r="C55" s="11">
        <v>103637</v>
      </c>
      <c r="D55" s="11">
        <v>583098</v>
      </c>
      <c r="E55" s="11">
        <v>679280</v>
      </c>
      <c r="F55" s="11">
        <v>176638</v>
      </c>
      <c r="G55" s="11">
        <v>138638</v>
      </c>
      <c r="H55" s="11">
        <v>0</v>
      </c>
    </row>
    <row r="56" spans="1:8" ht="12.5" customHeight="1" x14ac:dyDescent="0.45">
      <c r="A56" s="10" t="s">
        <v>83</v>
      </c>
      <c r="B56" s="11">
        <v>4150000</v>
      </c>
      <c r="C56" s="11">
        <v>0</v>
      </c>
      <c r="D56" s="11">
        <v>0</v>
      </c>
      <c r="E56" s="11">
        <v>0</v>
      </c>
      <c r="F56" s="11">
        <v>4150000</v>
      </c>
      <c r="G56" s="11">
        <v>0</v>
      </c>
      <c r="H56" s="11">
        <v>0</v>
      </c>
    </row>
    <row r="57" spans="1:8" ht="12.5" customHeight="1" x14ac:dyDescent="0.45">
      <c r="A57" s="10" t="s">
        <v>103</v>
      </c>
      <c r="B57" s="11">
        <v>37200000</v>
      </c>
      <c r="C57" s="11">
        <v>800000</v>
      </c>
      <c r="D57" s="11">
        <v>12950000</v>
      </c>
      <c r="E57" s="11">
        <v>12800000</v>
      </c>
      <c r="F57" s="11">
        <v>5450000</v>
      </c>
      <c r="G57" s="11">
        <v>3100000</v>
      </c>
      <c r="H57" s="11">
        <v>2100000</v>
      </c>
    </row>
    <row r="58" spans="1:8" ht="12.5" customHeight="1" x14ac:dyDescent="0.45">
      <c r="A58" s="10" t="s">
        <v>107</v>
      </c>
      <c r="B58" s="11">
        <v>56272639</v>
      </c>
      <c r="C58" s="11">
        <v>0</v>
      </c>
      <c r="D58" s="11">
        <v>12879067</v>
      </c>
      <c r="E58" s="11">
        <v>10531500</v>
      </c>
      <c r="F58" s="11">
        <v>1500000</v>
      </c>
      <c r="G58" s="11">
        <v>700000</v>
      </c>
      <c r="H58" s="11">
        <v>30662072</v>
      </c>
    </row>
    <row r="59" spans="1:8" ht="12.5" customHeight="1" x14ac:dyDescent="0.45">
      <c r="A59" s="10" t="s">
        <v>113</v>
      </c>
      <c r="B59" s="11">
        <v>2752080</v>
      </c>
      <c r="C59" s="11">
        <v>52000</v>
      </c>
      <c r="D59" s="11">
        <v>780980</v>
      </c>
      <c r="E59" s="11">
        <v>927900</v>
      </c>
      <c r="F59" s="11">
        <v>417100</v>
      </c>
      <c r="G59" s="11">
        <v>510100</v>
      </c>
      <c r="H59" s="11">
        <v>64000</v>
      </c>
    </row>
    <row r="60" spans="1:8" ht="12.5" customHeight="1" x14ac:dyDescent="0.45">
      <c r="A60" s="10" t="s">
        <v>114</v>
      </c>
      <c r="B60" s="11">
        <v>1001400</v>
      </c>
      <c r="C60" s="11">
        <v>52000</v>
      </c>
      <c r="D60" s="11">
        <v>88800</v>
      </c>
      <c r="E60" s="11">
        <v>475500</v>
      </c>
      <c r="F60" s="11">
        <v>0</v>
      </c>
      <c r="G60" s="11">
        <v>321100</v>
      </c>
      <c r="H60" s="11">
        <v>64000</v>
      </c>
    </row>
    <row r="61" spans="1:8" ht="12.5" customHeight="1" x14ac:dyDescent="0.45">
      <c r="A61" s="10" t="s">
        <v>117</v>
      </c>
      <c r="B61" s="11">
        <v>1750680</v>
      </c>
      <c r="C61" s="11">
        <v>0</v>
      </c>
      <c r="D61" s="11">
        <v>692180</v>
      </c>
      <c r="E61" s="11">
        <v>452400</v>
      </c>
      <c r="F61" s="11">
        <v>417100</v>
      </c>
      <c r="G61" s="11">
        <v>189000</v>
      </c>
      <c r="H61" s="11">
        <v>0</v>
      </c>
    </row>
    <row r="62" spans="1:8" ht="12.5" customHeight="1" x14ac:dyDescent="0.45">
      <c r="A62" s="10" t="s">
        <v>120</v>
      </c>
      <c r="B62" s="11">
        <v>500000</v>
      </c>
      <c r="C62" s="11">
        <v>500000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</row>
    <row r="63" spans="1:8" ht="12.5" customHeight="1" x14ac:dyDescent="0.45">
      <c r="A63" s="10" t="s">
        <v>123</v>
      </c>
      <c r="B63" s="11">
        <v>500000</v>
      </c>
      <c r="C63" s="11">
        <v>500000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</row>
    <row r="64" spans="1:8" ht="12.5" customHeight="1" x14ac:dyDescent="0.45">
      <c r="A64" s="10" t="s">
        <v>124</v>
      </c>
      <c r="B64" s="11">
        <v>5089761</v>
      </c>
      <c r="C64" s="11">
        <v>850000</v>
      </c>
      <c r="D64" s="11">
        <v>1439410</v>
      </c>
      <c r="E64" s="11">
        <v>1451492</v>
      </c>
      <c r="F64" s="11">
        <v>620339</v>
      </c>
      <c r="G64" s="11">
        <v>416220</v>
      </c>
      <c r="H64" s="11">
        <v>312300</v>
      </c>
    </row>
    <row r="65" spans="1:8" ht="12.5" customHeight="1" x14ac:dyDescent="0.45">
      <c r="A65" s="10" t="s">
        <v>125</v>
      </c>
      <c r="B65" s="11">
        <v>2978221</v>
      </c>
      <c r="C65" s="11">
        <v>850000</v>
      </c>
      <c r="D65" s="11">
        <v>603750</v>
      </c>
      <c r="E65" s="11">
        <v>679492</v>
      </c>
      <c r="F65" s="11">
        <v>531179</v>
      </c>
      <c r="G65" s="11">
        <v>313800</v>
      </c>
      <c r="H65" s="11">
        <v>0</v>
      </c>
    </row>
    <row r="66" spans="1:8" ht="12.5" customHeight="1" x14ac:dyDescent="0.45">
      <c r="A66" s="10" t="s">
        <v>128</v>
      </c>
      <c r="B66" s="11">
        <v>2111540</v>
      </c>
      <c r="C66" s="11">
        <v>0</v>
      </c>
      <c r="D66" s="11">
        <v>835660</v>
      </c>
      <c r="E66" s="11">
        <v>772000</v>
      </c>
      <c r="F66" s="11">
        <v>89160</v>
      </c>
      <c r="G66" s="11">
        <v>102420</v>
      </c>
      <c r="H66" s="11">
        <v>312300</v>
      </c>
    </row>
    <row r="67" spans="1:8" ht="12.5" customHeight="1" x14ac:dyDescent="0.45">
      <c r="A67" s="10" t="s">
        <v>131</v>
      </c>
      <c r="B67" s="11">
        <v>14888865</v>
      </c>
      <c r="C67" s="11">
        <v>0</v>
      </c>
      <c r="D67" s="11">
        <v>9095918</v>
      </c>
      <c r="E67" s="11">
        <v>5156619</v>
      </c>
      <c r="F67" s="11">
        <v>636328</v>
      </c>
      <c r="G67" s="11">
        <v>0</v>
      </c>
      <c r="H67" s="11">
        <v>0</v>
      </c>
    </row>
    <row r="68" spans="1:8" ht="12.5" customHeight="1" x14ac:dyDescent="0.45">
      <c r="A68" s="10" t="s">
        <v>132</v>
      </c>
      <c r="B68" s="11">
        <v>14888865</v>
      </c>
      <c r="C68" s="11">
        <v>0</v>
      </c>
      <c r="D68" s="11">
        <v>9095918</v>
      </c>
      <c r="E68" s="11">
        <v>5156619</v>
      </c>
      <c r="F68" s="11">
        <v>636328</v>
      </c>
      <c r="G68" s="11">
        <v>0</v>
      </c>
      <c r="H68" s="11">
        <v>0</v>
      </c>
    </row>
    <row r="69" spans="1:8" ht="12.5" customHeight="1" x14ac:dyDescent="0.45">
      <c r="A69" s="10" t="s">
        <v>139</v>
      </c>
      <c r="B69" s="11">
        <v>2902299</v>
      </c>
      <c r="C69" s="11">
        <v>1933333</v>
      </c>
      <c r="D69" s="11">
        <v>0</v>
      </c>
      <c r="E69" s="11">
        <v>290633</v>
      </c>
      <c r="F69" s="11">
        <v>0</v>
      </c>
      <c r="G69" s="11">
        <v>678333</v>
      </c>
      <c r="H69" s="11">
        <v>0</v>
      </c>
    </row>
    <row r="70" spans="1:8" ht="12.5" customHeight="1" x14ac:dyDescent="0.45">
      <c r="A70" s="10" t="s">
        <v>140</v>
      </c>
      <c r="B70" s="11">
        <v>107921183</v>
      </c>
      <c r="C70" s="11">
        <v>15566445</v>
      </c>
      <c r="D70" s="11">
        <v>21607785</v>
      </c>
      <c r="E70" s="11">
        <v>18244378</v>
      </c>
      <c r="F70" s="11">
        <v>35991851</v>
      </c>
      <c r="G70" s="11">
        <v>16510724</v>
      </c>
      <c r="H70" s="11">
        <v>0</v>
      </c>
    </row>
    <row r="71" spans="1:8" ht="12.5" customHeight="1" x14ac:dyDescent="0.45">
      <c r="A71" s="10" t="s">
        <v>141</v>
      </c>
      <c r="B71" s="11">
        <v>30752000</v>
      </c>
      <c r="C71" s="11">
        <v>2108000</v>
      </c>
      <c r="D71" s="11">
        <v>1617000</v>
      </c>
      <c r="E71" s="11">
        <v>1617000</v>
      </c>
      <c r="F71" s="11">
        <v>17648000</v>
      </c>
      <c r="G71" s="11">
        <v>7762000</v>
      </c>
      <c r="H71" s="11">
        <v>0</v>
      </c>
    </row>
    <row r="72" spans="1:8" ht="12.5" customHeight="1" x14ac:dyDescent="0.45">
      <c r="A72" s="10" t="s">
        <v>143</v>
      </c>
      <c r="B72" s="11">
        <v>30405420</v>
      </c>
      <c r="C72" s="11">
        <v>8000000</v>
      </c>
      <c r="D72" s="11">
        <v>1560000</v>
      </c>
      <c r="E72" s="11">
        <v>1430000</v>
      </c>
      <c r="F72" s="11">
        <v>14025420</v>
      </c>
      <c r="G72" s="11">
        <v>5390000</v>
      </c>
      <c r="H72" s="11">
        <v>0</v>
      </c>
    </row>
    <row r="73" spans="1:8" ht="12.5" customHeight="1" x14ac:dyDescent="0.45">
      <c r="A73" s="10" t="s">
        <v>144</v>
      </c>
      <c r="B73" s="11">
        <v>46763763</v>
      </c>
      <c r="C73" s="11">
        <v>5458445</v>
      </c>
      <c r="D73" s="11">
        <v>18430785</v>
      </c>
      <c r="E73" s="11">
        <v>15197378</v>
      </c>
      <c r="F73" s="11">
        <v>4318431</v>
      </c>
      <c r="G73" s="11">
        <v>3358724</v>
      </c>
      <c r="H73" s="11">
        <v>0</v>
      </c>
    </row>
    <row r="74" spans="1:8" ht="12.5" customHeight="1" x14ac:dyDescent="0.45">
      <c r="A74" s="10" t="s">
        <v>154</v>
      </c>
      <c r="B74" s="11">
        <v>19101423</v>
      </c>
      <c r="C74" s="11">
        <v>1071294</v>
      </c>
      <c r="D74" s="11">
        <v>1238514</v>
      </c>
      <c r="E74" s="11">
        <v>1266392</v>
      </c>
      <c r="F74" s="11">
        <v>6951095</v>
      </c>
      <c r="G74" s="11">
        <v>4857223</v>
      </c>
      <c r="H74" s="11">
        <v>3716905</v>
      </c>
    </row>
    <row r="75" spans="1:8" ht="12.5" customHeight="1" x14ac:dyDescent="0.45">
      <c r="A75" s="10" t="s">
        <v>155</v>
      </c>
      <c r="B75" s="11">
        <v>4269410</v>
      </c>
      <c r="C75" s="11">
        <v>360750</v>
      </c>
      <c r="D75" s="11">
        <v>565610</v>
      </c>
      <c r="E75" s="11">
        <v>411450</v>
      </c>
      <c r="F75" s="11">
        <v>1544050</v>
      </c>
      <c r="G75" s="11">
        <v>700700</v>
      </c>
      <c r="H75" s="11">
        <v>686850</v>
      </c>
    </row>
    <row r="76" spans="1:8" ht="12.5" customHeight="1" x14ac:dyDescent="0.45">
      <c r="A76" s="10" t="s">
        <v>156</v>
      </c>
      <c r="B76" s="11">
        <v>773000</v>
      </c>
      <c r="C76" s="11">
        <v>573000</v>
      </c>
      <c r="D76" s="11">
        <v>0</v>
      </c>
      <c r="E76" s="11">
        <v>200000</v>
      </c>
      <c r="F76" s="11">
        <v>0</v>
      </c>
      <c r="G76" s="11">
        <v>0</v>
      </c>
      <c r="H76" s="11">
        <v>0</v>
      </c>
    </row>
    <row r="77" spans="1:8" ht="12.5" customHeight="1" x14ac:dyDescent="0.45">
      <c r="A77" s="10" t="s">
        <v>157</v>
      </c>
      <c r="B77" s="11">
        <v>3153025</v>
      </c>
      <c r="C77" s="11">
        <v>0</v>
      </c>
      <c r="D77" s="11">
        <v>131000</v>
      </c>
      <c r="E77" s="11">
        <v>0</v>
      </c>
      <c r="F77" s="11">
        <v>147825</v>
      </c>
      <c r="G77" s="11">
        <v>395000</v>
      </c>
      <c r="H77" s="11">
        <v>2479200</v>
      </c>
    </row>
    <row r="78" spans="1:8" ht="12.5" customHeight="1" x14ac:dyDescent="0.45">
      <c r="A78" s="10" t="s">
        <v>158</v>
      </c>
      <c r="B78" s="11">
        <v>10905988</v>
      </c>
      <c r="C78" s="11">
        <v>137544</v>
      </c>
      <c r="D78" s="11">
        <v>541904</v>
      </c>
      <c r="E78" s="11">
        <v>654942</v>
      </c>
      <c r="F78" s="11">
        <v>5259220</v>
      </c>
      <c r="G78" s="11">
        <v>3761523</v>
      </c>
      <c r="H78" s="11">
        <v>550855</v>
      </c>
    </row>
    <row r="79" spans="1:8" ht="12.5" customHeight="1" x14ac:dyDescent="0.45">
      <c r="A79" s="10" t="s">
        <v>162</v>
      </c>
      <c r="B79" s="11">
        <v>24167500</v>
      </c>
      <c r="C79" s="11">
        <v>0</v>
      </c>
      <c r="D79" s="11">
        <v>6453000</v>
      </c>
      <c r="E79" s="11">
        <v>5396500</v>
      </c>
      <c r="F79" s="11">
        <v>12042000</v>
      </c>
      <c r="G79" s="11">
        <v>276000</v>
      </c>
      <c r="H79" s="11">
        <v>0</v>
      </c>
    </row>
    <row r="80" spans="1:8" ht="12.5" customHeight="1" x14ac:dyDescent="0.45">
      <c r="A80" s="10" t="s">
        <v>164</v>
      </c>
      <c r="B80" s="11">
        <v>24167500</v>
      </c>
      <c r="C80" s="11">
        <v>0</v>
      </c>
      <c r="D80" s="11">
        <v>6453000</v>
      </c>
      <c r="E80" s="11">
        <v>5396500</v>
      </c>
      <c r="F80" s="11">
        <v>12042000</v>
      </c>
      <c r="G80" s="11">
        <v>276000</v>
      </c>
      <c r="H80" s="11">
        <v>0</v>
      </c>
    </row>
    <row r="81" spans="1:8" ht="12.5" customHeight="1" x14ac:dyDescent="0.45">
      <c r="A81" s="10" t="s">
        <v>169</v>
      </c>
      <c r="B81" s="11">
        <v>914181</v>
      </c>
      <c r="C81" s="11">
        <v>0</v>
      </c>
      <c r="D81" s="11">
        <v>727272</v>
      </c>
      <c r="E81" s="11">
        <v>0</v>
      </c>
      <c r="F81" s="11">
        <v>186909</v>
      </c>
      <c r="G81" s="11">
        <v>0</v>
      </c>
      <c r="H81" s="11">
        <v>0</v>
      </c>
    </row>
    <row r="82" spans="1:8" ht="12.5" customHeight="1" x14ac:dyDescent="0.45">
      <c r="A82" s="10" t="s">
        <v>172</v>
      </c>
      <c r="B82" s="11">
        <v>914181</v>
      </c>
      <c r="C82" s="11">
        <v>0</v>
      </c>
      <c r="D82" s="11">
        <v>727272</v>
      </c>
      <c r="E82" s="11">
        <v>0</v>
      </c>
      <c r="F82" s="11">
        <v>186909</v>
      </c>
      <c r="G82" s="11">
        <v>0</v>
      </c>
      <c r="H82" s="11">
        <v>0</v>
      </c>
    </row>
    <row r="83" spans="1:8" ht="12.5" customHeight="1" x14ac:dyDescent="0.45">
      <c r="A83" s="10" t="s">
        <v>179</v>
      </c>
      <c r="B83" s="11">
        <v>47433009</v>
      </c>
      <c r="C83" s="11">
        <v>4074198</v>
      </c>
      <c r="D83" s="11">
        <v>15608417</v>
      </c>
      <c r="E83" s="11">
        <v>13098492</v>
      </c>
      <c r="F83" s="11">
        <v>5415145</v>
      </c>
      <c r="G83" s="11">
        <v>4272274</v>
      </c>
      <c r="H83" s="11">
        <v>4964483</v>
      </c>
    </row>
    <row r="84" spans="1:8" ht="12.5" customHeight="1" x14ac:dyDescent="0.45">
      <c r="A84" s="10" t="s">
        <v>180</v>
      </c>
      <c r="B84" s="11">
        <v>9839705</v>
      </c>
      <c r="C84" s="11">
        <v>0</v>
      </c>
      <c r="D84" s="11">
        <v>3464970</v>
      </c>
      <c r="E84" s="11">
        <v>3470383</v>
      </c>
      <c r="F84" s="11">
        <v>1720834</v>
      </c>
      <c r="G84" s="11">
        <v>604780</v>
      </c>
      <c r="H84" s="11">
        <v>578738</v>
      </c>
    </row>
    <row r="85" spans="1:8" ht="12.5" customHeight="1" x14ac:dyDescent="0.45">
      <c r="A85" s="10" t="s">
        <v>182</v>
      </c>
      <c r="B85" s="11">
        <v>2318387</v>
      </c>
      <c r="C85" s="11">
        <v>977464</v>
      </c>
      <c r="D85" s="11">
        <v>367732</v>
      </c>
      <c r="E85" s="11">
        <v>375273</v>
      </c>
      <c r="F85" s="11">
        <v>318643</v>
      </c>
      <c r="G85" s="11">
        <v>279275</v>
      </c>
      <c r="H85" s="11">
        <v>0</v>
      </c>
    </row>
    <row r="86" spans="1:8" ht="12.5" customHeight="1" x14ac:dyDescent="0.45">
      <c r="A86" s="10" t="s">
        <v>183</v>
      </c>
      <c r="B86" s="11">
        <v>1173882</v>
      </c>
      <c r="C86" s="11">
        <v>0</v>
      </c>
      <c r="D86" s="11">
        <v>449376</v>
      </c>
      <c r="E86" s="11">
        <v>446372</v>
      </c>
      <c r="F86" s="11">
        <v>278134</v>
      </c>
      <c r="G86" s="11">
        <v>0</v>
      </c>
      <c r="H86" s="11">
        <v>0</v>
      </c>
    </row>
    <row r="87" spans="1:8" ht="12.5" customHeight="1" x14ac:dyDescent="0.45">
      <c r="A87" s="10" t="s">
        <v>185</v>
      </c>
      <c r="B87" s="11">
        <v>4564419</v>
      </c>
      <c r="C87" s="11">
        <v>0</v>
      </c>
      <c r="D87" s="11">
        <v>463606</v>
      </c>
      <c r="E87" s="11">
        <v>1202192</v>
      </c>
      <c r="F87" s="11">
        <v>0</v>
      </c>
      <c r="G87" s="11">
        <v>1842456</v>
      </c>
      <c r="H87" s="11">
        <v>1056165</v>
      </c>
    </row>
    <row r="88" spans="1:8" ht="12.5" customHeight="1" x14ac:dyDescent="0.45">
      <c r="A88" s="10" t="s">
        <v>186</v>
      </c>
      <c r="B88" s="11">
        <v>5139230</v>
      </c>
      <c r="C88" s="11">
        <v>0</v>
      </c>
      <c r="D88" s="11">
        <v>191635</v>
      </c>
      <c r="E88" s="11">
        <v>1133120</v>
      </c>
      <c r="F88" s="11">
        <v>2496715</v>
      </c>
      <c r="G88" s="11">
        <v>1317760</v>
      </c>
      <c r="H88" s="11">
        <v>0</v>
      </c>
    </row>
    <row r="89" spans="1:8" ht="12.5" customHeight="1" x14ac:dyDescent="0.45">
      <c r="A89" s="10" t="s">
        <v>187</v>
      </c>
      <c r="B89" s="11">
        <v>23998554</v>
      </c>
      <c r="C89" s="11">
        <v>3096734</v>
      </c>
      <c r="D89" s="11">
        <v>10571441</v>
      </c>
      <c r="E89" s="11">
        <v>6371342</v>
      </c>
      <c r="F89" s="11">
        <v>501000</v>
      </c>
      <c r="G89" s="11">
        <v>128457</v>
      </c>
      <c r="H89" s="11">
        <v>3329580</v>
      </c>
    </row>
    <row r="90" spans="1:8" ht="12.5" customHeight="1" x14ac:dyDescent="0.45">
      <c r="A90" s="10" t="s">
        <v>189</v>
      </c>
      <c r="B90" s="11">
        <v>398832</v>
      </c>
      <c r="C90" s="11">
        <v>0</v>
      </c>
      <c r="D90" s="11">
        <v>99657</v>
      </c>
      <c r="E90" s="11">
        <v>99810</v>
      </c>
      <c r="F90" s="11">
        <v>99819</v>
      </c>
      <c r="G90" s="11">
        <v>99546</v>
      </c>
      <c r="H90" s="11">
        <v>0</v>
      </c>
    </row>
    <row r="91" spans="1:8" ht="12.5" customHeight="1" x14ac:dyDescent="0.45">
      <c r="A91" s="10" t="s">
        <v>191</v>
      </c>
      <c r="B91" s="11">
        <v>8841713</v>
      </c>
      <c r="C91" s="11">
        <v>59090</v>
      </c>
      <c r="D91" s="11">
        <v>2797292</v>
      </c>
      <c r="E91" s="11">
        <v>4556761</v>
      </c>
      <c r="F91" s="11">
        <v>884508</v>
      </c>
      <c r="G91" s="11">
        <v>377312</v>
      </c>
      <c r="H91" s="11">
        <v>166750</v>
      </c>
    </row>
    <row r="92" spans="1:8" ht="12.5" customHeight="1" x14ac:dyDescent="0.45">
      <c r="A92" s="10" t="s">
        <v>192</v>
      </c>
      <c r="B92" s="11">
        <v>3914920</v>
      </c>
      <c r="C92" s="11">
        <v>59090</v>
      </c>
      <c r="D92" s="11">
        <v>1337430</v>
      </c>
      <c r="E92" s="11">
        <v>1435355</v>
      </c>
      <c r="F92" s="11">
        <v>668800</v>
      </c>
      <c r="G92" s="11">
        <v>247495</v>
      </c>
      <c r="H92" s="11">
        <v>166750</v>
      </c>
    </row>
    <row r="93" spans="1:8" ht="12.5" customHeight="1" x14ac:dyDescent="0.45">
      <c r="A93" s="10" t="s">
        <v>193</v>
      </c>
      <c r="B93" s="11">
        <v>2514455</v>
      </c>
      <c r="C93" s="11">
        <v>0</v>
      </c>
      <c r="D93" s="11">
        <v>579736</v>
      </c>
      <c r="E93" s="11">
        <v>1934719</v>
      </c>
      <c r="F93" s="11">
        <v>0</v>
      </c>
      <c r="G93" s="11">
        <v>0</v>
      </c>
      <c r="H93" s="11">
        <v>0</v>
      </c>
    </row>
    <row r="94" spans="1:8" ht="12.5" customHeight="1" x14ac:dyDescent="0.45">
      <c r="A94" s="10" t="s">
        <v>194</v>
      </c>
      <c r="B94" s="11">
        <v>2412338</v>
      </c>
      <c r="C94" s="11">
        <v>0</v>
      </c>
      <c r="D94" s="11">
        <v>880126</v>
      </c>
      <c r="E94" s="11">
        <v>1186687</v>
      </c>
      <c r="F94" s="11">
        <v>215708</v>
      </c>
      <c r="G94" s="11">
        <v>129817</v>
      </c>
      <c r="H94" s="11">
        <v>0</v>
      </c>
    </row>
    <row r="95" spans="1:8" ht="12.5" customHeight="1" x14ac:dyDescent="0.45">
      <c r="A95" s="10" t="s">
        <v>197</v>
      </c>
      <c r="B95" s="11">
        <v>23090926</v>
      </c>
      <c r="C95" s="11">
        <v>5165936</v>
      </c>
      <c r="D95" s="11">
        <v>3331137</v>
      </c>
      <c r="E95" s="11">
        <v>9988984</v>
      </c>
      <c r="F95" s="11">
        <v>755506</v>
      </c>
      <c r="G95" s="11">
        <v>3849363</v>
      </c>
      <c r="H95" s="11">
        <v>0</v>
      </c>
    </row>
    <row r="96" spans="1:8" ht="12.5" customHeight="1" x14ac:dyDescent="0.45">
      <c r="A96" s="10" t="s">
        <v>199</v>
      </c>
      <c r="B96" s="11">
        <v>4795100</v>
      </c>
      <c r="C96" s="11">
        <v>0</v>
      </c>
      <c r="D96" s="11">
        <v>0</v>
      </c>
      <c r="E96" s="11">
        <v>1267500</v>
      </c>
      <c r="F96" s="11">
        <v>0</v>
      </c>
      <c r="G96" s="11">
        <v>3527600</v>
      </c>
      <c r="H96" s="11">
        <v>0</v>
      </c>
    </row>
    <row r="97" spans="1:8" ht="12.5" customHeight="1" x14ac:dyDescent="0.45">
      <c r="A97" s="10" t="s">
        <v>202</v>
      </c>
      <c r="B97" s="11">
        <v>4901316</v>
      </c>
      <c r="C97" s="11">
        <v>73000</v>
      </c>
      <c r="D97" s="11">
        <v>2124100</v>
      </c>
      <c r="E97" s="11">
        <v>2134619</v>
      </c>
      <c r="F97" s="11">
        <v>381597</v>
      </c>
      <c r="G97" s="11">
        <v>188000</v>
      </c>
      <c r="H97" s="11">
        <v>0</v>
      </c>
    </row>
    <row r="98" spans="1:8" ht="12.5" customHeight="1" x14ac:dyDescent="0.45">
      <c r="A98" s="10" t="s">
        <v>204</v>
      </c>
      <c r="B98" s="11">
        <v>4560000</v>
      </c>
      <c r="C98" s="11">
        <v>0</v>
      </c>
      <c r="D98" s="11">
        <v>0</v>
      </c>
      <c r="E98" s="11">
        <v>4560000</v>
      </c>
      <c r="F98" s="11">
        <v>0</v>
      </c>
      <c r="G98" s="11">
        <v>0</v>
      </c>
      <c r="H98" s="11">
        <v>0</v>
      </c>
    </row>
    <row r="99" spans="1:8" ht="12.5" customHeight="1" x14ac:dyDescent="0.45">
      <c r="A99" s="10" t="s">
        <v>205</v>
      </c>
      <c r="B99" s="11">
        <v>3812510</v>
      </c>
      <c r="C99" s="11">
        <v>70936</v>
      </c>
      <c r="D99" s="11">
        <v>1207037</v>
      </c>
      <c r="E99" s="11">
        <v>2026865</v>
      </c>
      <c r="F99" s="11">
        <v>373909</v>
      </c>
      <c r="G99" s="11">
        <v>133763</v>
      </c>
      <c r="H99" s="11">
        <v>0</v>
      </c>
    </row>
    <row r="100" spans="1:8" ht="12.5" customHeight="1" x14ac:dyDescent="0.45">
      <c r="A100" s="10" t="s">
        <v>207</v>
      </c>
      <c r="B100" s="11">
        <v>5022000</v>
      </c>
      <c r="C100" s="11">
        <v>5022000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</row>
    <row r="101" spans="1:8" ht="12.5" customHeight="1" x14ac:dyDescent="0.45">
      <c r="A101" s="10" t="s">
        <v>215</v>
      </c>
      <c r="B101" s="11">
        <v>151379498</v>
      </c>
      <c r="C101" s="11">
        <v>0</v>
      </c>
      <c r="D101" s="11">
        <v>57504129</v>
      </c>
      <c r="E101" s="11">
        <v>89272413</v>
      </c>
      <c r="F101" s="11">
        <v>2833091</v>
      </c>
      <c r="G101" s="11">
        <v>907000</v>
      </c>
      <c r="H101" s="11">
        <v>862865</v>
      </c>
    </row>
    <row r="102" spans="1:8" ht="12.5" customHeight="1" x14ac:dyDescent="0.45">
      <c r="A102" s="10" t="s">
        <v>216</v>
      </c>
      <c r="B102" s="11">
        <v>18301380</v>
      </c>
      <c r="C102" s="11">
        <v>0</v>
      </c>
      <c r="D102" s="11">
        <v>1090310</v>
      </c>
      <c r="E102" s="11">
        <v>17011070</v>
      </c>
      <c r="F102" s="11">
        <v>0</v>
      </c>
      <c r="G102" s="11">
        <v>0</v>
      </c>
      <c r="H102" s="11">
        <v>200000</v>
      </c>
    </row>
    <row r="103" spans="1:8" ht="12.5" customHeight="1" x14ac:dyDescent="0.45">
      <c r="A103" s="10" t="s">
        <v>219</v>
      </c>
      <c r="B103" s="11">
        <v>735000</v>
      </c>
      <c r="C103" s="11">
        <v>0</v>
      </c>
      <c r="D103" s="11">
        <v>200000</v>
      </c>
      <c r="E103" s="11">
        <v>535000</v>
      </c>
      <c r="F103" s="11">
        <v>0</v>
      </c>
      <c r="G103" s="11">
        <v>0</v>
      </c>
      <c r="H103" s="11">
        <v>0</v>
      </c>
    </row>
    <row r="104" spans="1:8" ht="12.5" customHeight="1" x14ac:dyDescent="0.45">
      <c r="A104" s="10" t="s">
        <v>220</v>
      </c>
      <c r="B104" s="11">
        <v>101574000</v>
      </c>
      <c r="C104" s="11">
        <v>0</v>
      </c>
      <c r="D104" s="11">
        <v>47272000</v>
      </c>
      <c r="E104" s="11">
        <v>54302000</v>
      </c>
      <c r="F104" s="11">
        <v>0</v>
      </c>
      <c r="G104" s="11">
        <v>0</v>
      </c>
      <c r="H104" s="11">
        <v>0</v>
      </c>
    </row>
    <row r="105" spans="1:8" ht="12.5" customHeight="1" x14ac:dyDescent="0.45">
      <c r="A105" s="10" t="s">
        <v>221</v>
      </c>
      <c r="B105" s="11">
        <v>3740091</v>
      </c>
      <c r="C105" s="11">
        <v>0</v>
      </c>
      <c r="D105" s="11">
        <v>0</v>
      </c>
      <c r="E105" s="11">
        <v>0</v>
      </c>
      <c r="F105" s="11">
        <v>2833091</v>
      </c>
      <c r="G105" s="11">
        <v>907000</v>
      </c>
      <c r="H105" s="11">
        <v>0</v>
      </c>
    </row>
    <row r="106" spans="1:8" ht="12.5" customHeight="1" x14ac:dyDescent="0.45">
      <c r="A106" s="10" t="s">
        <v>222</v>
      </c>
      <c r="B106" s="11">
        <v>27029027</v>
      </c>
      <c r="C106" s="11">
        <v>0</v>
      </c>
      <c r="D106" s="11">
        <v>8941819</v>
      </c>
      <c r="E106" s="11">
        <v>17424343</v>
      </c>
      <c r="F106" s="11">
        <v>0</v>
      </c>
      <c r="G106" s="11">
        <v>0</v>
      </c>
      <c r="H106" s="11">
        <v>662865</v>
      </c>
    </row>
    <row r="107" spans="1:8" ht="12.5" customHeight="1" x14ac:dyDescent="0.45">
      <c r="A107" s="10" t="s">
        <v>227</v>
      </c>
      <c r="B107" s="11">
        <v>-296008</v>
      </c>
      <c r="C107" s="11">
        <v>0</v>
      </c>
      <c r="D107" s="11">
        <v>0</v>
      </c>
      <c r="E107" s="11">
        <v>0</v>
      </c>
      <c r="F107" s="11">
        <v>-605099</v>
      </c>
      <c r="G107" s="11">
        <v>309091</v>
      </c>
      <c r="H107" s="11">
        <v>0</v>
      </c>
    </row>
    <row r="108" spans="1:8" ht="12.5" customHeight="1" x14ac:dyDescent="0.45">
      <c r="A108" s="10" t="s">
        <v>232</v>
      </c>
      <c r="B108" s="11">
        <v>-296008</v>
      </c>
      <c r="C108" s="11">
        <v>0</v>
      </c>
      <c r="D108" s="11">
        <v>0</v>
      </c>
      <c r="E108" s="11">
        <v>0</v>
      </c>
      <c r="F108" s="11">
        <v>-605099</v>
      </c>
      <c r="G108" s="11">
        <v>309091</v>
      </c>
      <c r="H108" s="11">
        <v>0</v>
      </c>
    </row>
    <row r="109" spans="1:8" ht="12.5" customHeight="1" x14ac:dyDescent="0.45">
      <c r="A109" s="10" t="s">
        <v>236</v>
      </c>
      <c r="B109" s="11">
        <v>241333</v>
      </c>
      <c r="C109" s="11">
        <v>0</v>
      </c>
      <c r="D109" s="11">
        <v>0</v>
      </c>
      <c r="E109" s="11">
        <v>241333</v>
      </c>
      <c r="F109" s="11">
        <v>0</v>
      </c>
      <c r="G109" s="11">
        <v>0</v>
      </c>
      <c r="H109" s="11">
        <v>0</v>
      </c>
    </row>
    <row r="110" spans="1:8" ht="12.5" customHeight="1" x14ac:dyDescent="0.45">
      <c r="A110" s="10" t="s">
        <v>335</v>
      </c>
      <c r="B110" s="11">
        <v>548545801</v>
      </c>
      <c r="C110" s="11">
        <v>109629485</v>
      </c>
      <c r="D110" s="11">
        <v>195363704</v>
      </c>
      <c r="E110" s="11">
        <v>146151765</v>
      </c>
      <c r="F110" s="11">
        <v>22530651</v>
      </c>
      <c r="G110" s="11">
        <v>17827554</v>
      </c>
      <c r="H110" s="11">
        <v>57042642</v>
      </c>
    </row>
    <row r="111" spans="1:8" ht="12.5" customHeight="1" x14ac:dyDescent="0.45">
      <c r="A111" s="10" t="s">
        <v>254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</row>
    <row r="112" spans="1:8" ht="12.5" customHeight="1" x14ac:dyDescent="0.45">
      <c r="A112" s="10" t="s">
        <v>255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</row>
    <row r="113" spans="1:8" ht="12.5" customHeight="1" x14ac:dyDescent="0.45">
      <c r="A113" s="10" t="s">
        <v>336</v>
      </c>
      <c r="B113" s="11">
        <v>548545801</v>
      </c>
      <c r="C113" s="11">
        <v>109629485</v>
      </c>
      <c r="D113" s="11">
        <v>195363704</v>
      </c>
      <c r="E113" s="11">
        <v>146151765</v>
      </c>
      <c r="F113" s="11">
        <v>22530651</v>
      </c>
      <c r="G113" s="11">
        <v>17827554</v>
      </c>
      <c r="H113" s="11">
        <v>57042642</v>
      </c>
    </row>
    <row r="114" spans="1:8" ht="12.5" customHeight="1" x14ac:dyDescent="0.45">
      <c r="A114" s="10" t="s">
        <v>337</v>
      </c>
      <c r="B114" s="11">
        <v>548545801</v>
      </c>
      <c r="C114" s="11">
        <v>109629485</v>
      </c>
      <c r="D114" s="11">
        <v>195363704</v>
      </c>
      <c r="E114" s="11">
        <v>146151765</v>
      </c>
      <c r="F114" s="11">
        <v>22530651</v>
      </c>
      <c r="G114" s="11">
        <v>17827554</v>
      </c>
      <c r="H114" s="11">
        <v>57042642</v>
      </c>
    </row>
    <row r="115" spans="1:8" ht="12.5" customHeight="1" x14ac:dyDescent="0.45">
      <c r="A115" s="10" t="s">
        <v>258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</row>
    <row r="116" spans="1:8" ht="12.5" customHeight="1" x14ac:dyDescent="0.45">
      <c r="A116" s="10" t="s">
        <v>338</v>
      </c>
      <c r="B116" s="11">
        <v>548545801</v>
      </c>
      <c r="C116" s="11">
        <v>109629485</v>
      </c>
      <c r="D116" s="11">
        <v>195363704</v>
      </c>
      <c r="E116" s="11">
        <v>146151765</v>
      </c>
      <c r="F116" s="11">
        <v>22530651</v>
      </c>
      <c r="G116" s="11">
        <v>17827554</v>
      </c>
      <c r="H116" s="11">
        <v>57042642</v>
      </c>
    </row>
    <row r="117" spans="1:8" ht="12.5" customHeight="1" x14ac:dyDescent="0.45">
      <c r="A117" s="10" t="s">
        <v>260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</row>
    <row r="118" spans="1:8" ht="12.5" customHeight="1" x14ac:dyDescent="0.45">
      <c r="A118" s="10" t="s">
        <v>339</v>
      </c>
      <c r="B118" s="11">
        <v>548545801</v>
      </c>
      <c r="C118" s="11">
        <v>109629485</v>
      </c>
      <c r="D118" s="11">
        <v>195363704</v>
      </c>
      <c r="E118" s="11">
        <v>146151765</v>
      </c>
      <c r="F118" s="11">
        <v>22530651</v>
      </c>
      <c r="G118" s="11">
        <v>17827554</v>
      </c>
      <c r="H118" s="11">
        <v>57042642</v>
      </c>
    </row>
    <row r="119" spans="1:8" ht="12.5" customHeight="1" x14ac:dyDescent="0.45">
      <c r="A119" s="10" t="s">
        <v>262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</row>
    <row r="120" spans="1:8" ht="12.5" customHeight="1" x14ac:dyDescent="0.45">
      <c r="A120" s="10" t="s">
        <v>263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</row>
    <row r="121" spans="1:8" ht="12.5" customHeight="1" x14ac:dyDescent="0.45">
      <c r="A121" s="10" t="s">
        <v>264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</row>
    <row r="122" spans="1:8" ht="12.5" customHeight="1" x14ac:dyDescent="0.45">
      <c r="A122" s="10" t="s">
        <v>265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</row>
    <row r="123" spans="1:8" ht="12.5" customHeight="1" x14ac:dyDescent="0.45">
      <c r="A123" s="10" t="s">
        <v>266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24F-02AA-4F16-A917-B9E46496CF05}">
  <dimension ref="A1:G122"/>
  <sheetViews>
    <sheetView workbookViewId="0">
      <selection sqref="A1:A2"/>
    </sheetView>
  </sheetViews>
  <sheetFormatPr defaultColWidth="8.4140625" defaultRowHeight="12.5" customHeight="1" x14ac:dyDescent="0.45"/>
  <cols>
    <col min="1" max="7" width="19.6640625" style="12" customWidth="1"/>
    <col min="8" max="16384" width="8.4140625" style="12"/>
  </cols>
  <sheetData>
    <row r="1" spans="1:7" ht="12.5" customHeight="1" x14ac:dyDescent="0.45">
      <c r="A1" s="76" t="s">
        <v>0</v>
      </c>
      <c r="B1" s="76" t="s">
        <v>250</v>
      </c>
      <c r="C1" s="9" t="s">
        <v>267</v>
      </c>
      <c r="D1" s="9" t="s">
        <v>268</v>
      </c>
      <c r="E1" s="9" t="s">
        <v>269</v>
      </c>
      <c r="F1" s="9" t="s">
        <v>270</v>
      </c>
      <c r="G1" s="9" t="s">
        <v>271</v>
      </c>
    </row>
    <row r="2" spans="1:7" ht="12.5" customHeight="1" x14ac:dyDescent="0.45">
      <c r="A2" s="76" t="s">
        <v>0</v>
      </c>
      <c r="B2" s="76" t="s">
        <v>250</v>
      </c>
      <c r="C2" s="9" t="s">
        <v>272</v>
      </c>
      <c r="D2" s="9" t="s">
        <v>273</v>
      </c>
      <c r="E2" s="9" t="s">
        <v>274</v>
      </c>
      <c r="F2" s="9" t="s">
        <v>275</v>
      </c>
      <c r="G2" s="9" t="s">
        <v>276</v>
      </c>
    </row>
    <row r="3" spans="1:7" ht="12.5" customHeight="1" x14ac:dyDescent="0.45">
      <c r="A3" s="10" t="s">
        <v>251</v>
      </c>
      <c r="B3" s="11">
        <v>-394159862</v>
      </c>
      <c r="C3" s="11">
        <v>-143564052</v>
      </c>
      <c r="D3" s="11">
        <v>-82098798</v>
      </c>
      <c r="E3" s="11">
        <v>-99807043</v>
      </c>
      <c r="F3" s="11">
        <v>-44910261</v>
      </c>
      <c r="G3" s="11">
        <v>-23779708</v>
      </c>
    </row>
    <row r="4" spans="1:7" ht="12.5" customHeight="1" x14ac:dyDescent="0.45">
      <c r="A4" s="10" t="s">
        <v>1</v>
      </c>
      <c r="B4" s="11">
        <v>3389611272</v>
      </c>
      <c r="C4" s="11">
        <v>1846181</v>
      </c>
      <c r="D4" s="11">
        <v>1357225953</v>
      </c>
      <c r="E4" s="11">
        <v>1629129562</v>
      </c>
      <c r="F4" s="11">
        <v>321302897</v>
      </c>
      <c r="G4" s="11">
        <v>80106679</v>
      </c>
    </row>
    <row r="5" spans="1:7" ht="12.5" customHeight="1" x14ac:dyDescent="0.45">
      <c r="A5" s="10" t="s">
        <v>2</v>
      </c>
      <c r="B5" s="11">
        <v>1480476988</v>
      </c>
      <c r="C5" s="11">
        <v>0</v>
      </c>
      <c r="D5" s="11">
        <v>699546838</v>
      </c>
      <c r="E5" s="11">
        <v>779647690</v>
      </c>
      <c r="F5" s="11">
        <v>409369</v>
      </c>
      <c r="G5" s="11">
        <v>873091</v>
      </c>
    </row>
    <row r="6" spans="1:7" ht="12.5" customHeight="1" x14ac:dyDescent="0.45">
      <c r="A6" s="10" t="s">
        <v>3</v>
      </c>
      <c r="B6" s="11">
        <v>3603591</v>
      </c>
      <c r="C6" s="11">
        <v>0</v>
      </c>
      <c r="D6" s="11">
        <v>2597954</v>
      </c>
      <c r="E6" s="11">
        <v>1005637</v>
      </c>
      <c r="F6" s="11">
        <v>0</v>
      </c>
      <c r="G6" s="11">
        <v>0</v>
      </c>
    </row>
    <row r="7" spans="1:7" ht="12.5" customHeight="1" x14ac:dyDescent="0.45">
      <c r="A7" s="10" t="s">
        <v>6</v>
      </c>
      <c r="B7" s="11">
        <v>1391993896</v>
      </c>
      <c r="C7" s="11">
        <v>0</v>
      </c>
      <c r="D7" s="11">
        <v>651392473</v>
      </c>
      <c r="E7" s="11">
        <v>739318963</v>
      </c>
      <c r="F7" s="11">
        <v>409369</v>
      </c>
      <c r="G7" s="11">
        <v>873091</v>
      </c>
    </row>
    <row r="8" spans="1:7" ht="12.5" customHeight="1" x14ac:dyDescent="0.45">
      <c r="A8" s="10" t="s">
        <v>7</v>
      </c>
      <c r="B8" s="11">
        <v>34891702</v>
      </c>
      <c r="C8" s="11">
        <v>0</v>
      </c>
      <c r="D8" s="11">
        <v>16750728</v>
      </c>
      <c r="E8" s="11">
        <v>18140974</v>
      </c>
      <c r="F8" s="11">
        <v>0</v>
      </c>
      <c r="G8" s="11">
        <v>0</v>
      </c>
    </row>
    <row r="9" spans="1:7" ht="12.5" customHeight="1" x14ac:dyDescent="0.45">
      <c r="A9" s="10" t="s">
        <v>9</v>
      </c>
      <c r="B9" s="11">
        <v>49987799</v>
      </c>
      <c r="C9" s="11">
        <v>0</v>
      </c>
      <c r="D9" s="11">
        <v>28805683</v>
      </c>
      <c r="E9" s="11">
        <v>21182116</v>
      </c>
      <c r="F9" s="11">
        <v>0</v>
      </c>
      <c r="G9" s="11">
        <v>0</v>
      </c>
    </row>
    <row r="10" spans="1:7" ht="12.5" customHeight="1" x14ac:dyDescent="0.45">
      <c r="A10" s="10" t="s">
        <v>11</v>
      </c>
      <c r="B10" s="11">
        <v>1909134284</v>
      </c>
      <c r="C10" s="11">
        <v>1846181</v>
      </c>
      <c r="D10" s="11">
        <v>657679115</v>
      </c>
      <c r="E10" s="11">
        <v>849481872</v>
      </c>
      <c r="F10" s="11">
        <v>320893528</v>
      </c>
      <c r="G10" s="11">
        <v>79233588</v>
      </c>
    </row>
    <row r="11" spans="1:7" ht="12.5" customHeight="1" x14ac:dyDescent="0.45">
      <c r="A11" s="10" t="s">
        <v>12</v>
      </c>
      <c r="B11" s="11">
        <v>665843184</v>
      </c>
      <c r="C11" s="11">
        <v>0</v>
      </c>
      <c r="D11" s="11">
        <v>288760741</v>
      </c>
      <c r="E11" s="11">
        <v>378360394</v>
      </c>
      <c r="F11" s="11">
        <v>-2128877</v>
      </c>
      <c r="G11" s="11">
        <v>850926</v>
      </c>
    </row>
    <row r="12" spans="1:7" ht="12.5" customHeight="1" x14ac:dyDescent="0.45">
      <c r="A12" s="10" t="s">
        <v>13</v>
      </c>
      <c r="B12" s="11">
        <v>-16272</v>
      </c>
      <c r="C12" s="11">
        <v>0</v>
      </c>
      <c r="D12" s="11">
        <v>0</v>
      </c>
      <c r="E12" s="11">
        <v>-16272</v>
      </c>
      <c r="F12" s="11">
        <v>0</v>
      </c>
      <c r="G12" s="11">
        <v>0</v>
      </c>
    </row>
    <row r="13" spans="1:7" ht="12.5" customHeight="1" x14ac:dyDescent="0.45">
      <c r="A13" s="10" t="s">
        <v>14</v>
      </c>
      <c r="B13" s="11">
        <v>584996158</v>
      </c>
      <c r="C13" s="11">
        <v>182545</v>
      </c>
      <c r="D13" s="11">
        <v>216036318</v>
      </c>
      <c r="E13" s="11">
        <v>266298592</v>
      </c>
      <c r="F13" s="11">
        <v>81474255</v>
      </c>
      <c r="G13" s="11">
        <v>21004448</v>
      </c>
    </row>
    <row r="14" spans="1:7" ht="12.5" customHeight="1" x14ac:dyDescent="0.45">
      <c r="A14" s="10" t="s">
        <v>15</v>
      </c>
      <c r="B14" s="11">
        <v>10033480</v>
      </c>
      <c r="C14" s="11">
        <v>0</v>
      </c>
      <c r="D14" s="11">
        <v>5349466</v>
      </c>
      <c r="E14" s="11">
        <v>4682514</v>
      </c>
      <c r="F14" s="11">
        <v>1500</v>
      </c>
      <c r="G14" s="11">
        <v>0</v>
      </c>
    </row>
    <row r="15" spans="1:7" ht="12.5" customHeight="1" x14ac:dyDescent="0.45">
      <c r="A15" s="10" t="s">
        <v>16</v>
      </c>
      <c r="B15" s="11">
        <v>275091116</v>
      </c>
      <c r="C15" s="11">
        <v>0</v>
      </c>
      <c r="D15" s="11">
        <v>92842145</v>
      </c>
      <c r="E15" s="11">
        <v>125132573</v>
      </c>
      <c r="F15" s="11">
        <v>-261816</v>
      </c>
      <c r="G15" s="11">
        <v>57378214</v>
      </c>
    </row>
    <row r="16" spans="1:7" ht="12.5" customHeight="1" x14ac:dyDescent="0.45">
      <c r="A16" s="10" t="s">
        <v>19</v>
      </c>
      <c r="B16" s="11">
        <v>1663636</v>
      </c>
      <c r="C16" s="11">
        <v>1663636</v>
      </c>
      <c r="D16" s="11">
        <v>0</v>
      </c>
      <c r="E16" s="11">
        <v>0</v>
      </c>
      <c r="F16" s="11">
        <v>0</v>
      </c>
      <c r="G16" s="11">
        <v>0</v>
      </c>
    </row>
    <row r="17" spans="1:7" ht="12.5" customHeight="1" x14ac:dyDescent="0.45">
      <c r="A17" s="10" t="s">
        <v>20</v>
      </c>
      <c r="B17" s="11">
        <v>241808466</v>
      </c>
      <c r="C17" s="11">
        <v>0</v>
      </c>
      <c r="D17" s="11">
        <v>0</v>
      </c>
      <c r="E17" s="11">
        <v>0</v>
      </c>
      <c r="F17" s="11">
        <v>241808466</v>
      </c>
      <c r="G17" s="11">
        <v>0</v>
      </c>
    </row>
    <row r="18" spans="1:7" ht="12.5" customHeight="1" x14ac:dyDescent="0.45">
      <c r="A18" s="10" t="s">
        <v>21</v>
      </c>
      <c r="B18" s="11">
        <v>129714516</v>
      </c>
      <c r="C18" s="11">
        <v>0</v>
      </c>
      <c r="D18" s="11">
        <v>54690445</v>
      </c>
      <c r="E18" s="11">
        <v>75024071</v>
      </c>
      <c r="F18" s="11">
        <v>0</v>
      </c>
      <c r="G18" s="11">
        <v>0</v>
      </c>
    </row>
    <row r="19" spans="1:7" ht="12.5" customHeight="1" x14ac:dyDescent="0.45">
      <c r="A19" s="10" t="s">
        <v>23</v>
      </c>
      <c r="B19" s="11">
        <v>1745982873</v>
      </c>
      <c r="C19" s="11">
        <v>0</v>
      </c>
      <c r="D19" s="11">
        <v>800499354</v>
      </c>
      <c r="E19" s="11">
        <v>943683156</v>
      </c>
      <c r="F19" s="11">
        <v>0</v>
      </c>
      <c r="G19" s="11">
        <v>1800363</v>
      </c>
    </row>
    <row r="20" spans="1:7" ht="12.5" customHeight="1" x14ac:dyDescent="0.45">
      <c r="A20" s="10" t="s">
        <v>24</v>
      </c>
      <c r="B20" s="11">
        <v>1745982873</v>
      </c>
      <c r="C20" s="11">
        <v>0</v>
      </c>
      <c r="D20" s="11">
        <v>800499354</v>
      </c>
      <c r="E20" s="11">
        <v>943683156</v>
      </c>
      <c r="F20" s="11">
        <v>0</v>
      </c>
      <c r="G20" s="11">
        <v>1800363</v>
      </c>
    </row>
    <row r="21" spans="1:7" ht="12.5" customHeight="1" x14ac:dyDescent="0.45">
      <c r="A21" s="10" t="s">
        <v>25</v>
      </c>
      <c r="B21" s="11">
        <v>1643628399</v>
      </c>
      <c r="C21" s="11">
        <v>1846181</v>
      </c>
      <c r="D21" s="11">
        <v>556726599</v>
      </c>
      <c r="E21" s="11">
        <v>685446406</v>
      </c>
      <c r="F21" s="11">
        <v>321302897</v>
      </c>
      <c r="G21" s="11">
        <v>78306316</v>
      </c>
    </row>
    <row r="22" spans="1:7" ht="12.5" customHeight="1" x14ac:dyDescent="0.45">
      <c r="A22" s="10" t="s">
        <v>26</v>
      </c>
      <c r="B22" s="11">
        <v>2037788261</v>
      </c>
      <c r="C22" s="11">
        <v>145410233</v>
      </c>
      <c r="D22" s="11">
        <v>638825397</v>
      </c>
      <c r="E22" s="11">
        <v>785253449</v>
      </c>
      <c r="F22" s="11">
        <v>366213158</v>
      </c>
      <c r="G22" s="11">
        <v>102086024</v>
      </c>
    </row>
    <row r="23" spans="1:7" ht="12.5" customHeight="1" x14ac:dyDescent="0.45">
      <c r="A23" s="10" t="s">
        <v>27</v>
      </c>
      <c r="B23" s="11">
        <v>11691540</v>
      </c>
      <c r="C23" s="11">
        <v>11691540</v>
      </c>
      <c r="D23" s="11">
        <v>0</v>
      </c>
      <c r="E23" s="11">
        <v>0</v>
      </c>
      <c r="F23" s="11">
        <v>0</v>
      </c>
      <c r="G23" s="11">
        <v>0</v>
      </c>
    </row>
    <row r="24" spans="1:7" ht="12.5" customHeight="1" x14ac:dyDescent="0.45">
      <c r="A24" s="10" t="s">
        <v>28</v>
      </c>
      <c r="B24" s="11">
        <v>821615930</v>
      </c>
      <c r="C24" s="11">
        <v>37049080</v>
      </c>
      <c r="D24" s="11">
        <v>244013910</v>
      </c>
      <c r="E24" s="11">
        <v>340164120</v>
      </c>
      <c r="F24" s="11">
        <v>156608150</v>
      </c>
      <c r="G24" s="11">
        <v>43780670</v>
      </c>
    </row>
    <row r="25" spans="1:7" ht="12.5" customHeight="1" x14ac:dyDescent="0.45">
      <c r="A25" s="10" t="s">
        <v>29</v>
      </c>
      <c r="B25" s="11">
        <v>59831820</v>
      </c>
      <c r="C25" s="11">
        <v>26597090</v>
      </c>
      <c r="D25" s="11">
        <v>11734550</v>
      </c>
      <c r="E25" s="11">
        <v>15208680</v>
      </c>
      <c r="F25" s="11">
        <v>6291500</v>
      </c>
      <c r="G25" s="11">
        <v>0</v>
      </c>
    </row>
    <row r="26" spans="1:7" ht="12.5" customHeight="1" x14ac:dyDescent="0.45">
      <c r="A26" s="10" t="s">
        <v>30</v>
      </c>
      <c r="B26" s="11">
        <v>10896040</v>
      </c>
      <c r="C26" s="11">
        <v>4794270</v>
      </c>
      <c r="D26" s="11">
        <v>2191180</v>
      </c>
      <c r="E26" s="11">
        <v>2785450</v>
      </c>
      <c r="F26" s="11">
        <v>1125140</v>
      </c>
      <c r="G26" s="11">
        <v>0</v>
      </c>
    </row>
    <row r="27" spans="1:7" ht="12.5" customHeight="1" x14ac:dyDescent="0.45">
      <c r="A27" s="10" t="s">
        <v>31</v>
      </c>
      <c r="B27" s="11">
        <v>2100000</v>
      </c>
      <c r="C27" s="11">
        <v>700000</v>
      </c>
      <c r="D27" s="11">
        <v>700000</v>
      </c>
      <c r="E27" s="11">
        <v>700000</v>
      </c>
      <c r="F27" s="11">
        <v>0</v>
      </c>
      <c r="G27" s="11">
        <v>0</v>
      </c>
    </row>
    <row r="28" spans="1:7" ht="12.5" customHeight="1" x14ac:dyDescent="0.45">
      <c r="A28" s="10" t="s">
        <v>33</v>
      </c>
      <c r="B28" s="11">
        <v>2042510</v>
      </c>
      <c r="C28" s="11">
        <v>888270</v>
      </c>
      <c r="D28" s="11">
        <v>474890</v>
      </c>
      <c r="E28" s="11">
        <v>272220</v>
      </c>
      <c r="F28" s="11">
        <v>407130</v>
      </c>
      <c r="G28" s="11">
        <v>0</v>
      </c>
    </row>
    <row r="29" spans="1:7" ht="12.5" customHeight="1" x14ac:dyDescent="0.45">
      <c r="A29" s="10" t="s">
        <v>34</v>
      </c>
      <c r="B29" s="11">
        <v>410540</v>
      </c>
      <c r="C29" s="11">
        <v>101460</v>
      </c>
      <c r="D29" s="11">
        <v>0</v>
      </c>
      <c r="E29" s="11">
        <v>214120</v>
      </c>
      <c r="F29" s="11">
        <v>94960</v>
      </c>
      <c r="G29" s="11">
        <v>0</v>
      </c>
    </row>
    <row r="30" spans="1:7" ht="12.5" customHeight="1" x14ac:dyDescent="0.45">
      <c r="A30" s="10" t="s">
        <v>35</v>
      </c>
      <c r="B30" s="11">
        <v>4164600</v>
      </c>
      <c r="C30" s="11">
        <v>0</v>
      </c>
      <c r="D30" s="11">
        <v>0</v>
      </c>
      <c r="E30" s="11">
        <v>4164600</v>
      </c>
      <c r="F30" s="11">
        <v>0</v>
      </c>
      <c r="G30" s="11">
        <v>0</v>
      </c>
    </row>
    <row r="31" spans="1:7" ht="12.5" customHeight="1" x14ac:dyDescent="0.45">
      <c r="A31" s="10" t="s">
        <v>36</v>
      </c>
      <c r="B31" s="11">
        <v>706520</v>
      </c>
      <c r="C31" s="11">
        <v>0</v>
      </c>
      <c r="D31" s="11">
        <v>0</v>
      </c>
      <c r="E31" s="11">
        <v>706520</v>
      </c>
      <c r="F31" s="11">
        <v>0</v>
      </c>
      <c r="G31" s="11">
        <v>0</v>
      </c>
    </row>
    <row r="32" spans="1:7" ht="12.5" customHeight="1" x14ac:dyDescent="0.45">
      <c r="A32" s="10" t="s">
        <v>41</v>
      </c>
      <c r="B32" s="11">
        <v>2245000</v>
      </c>
      <c r="C32" s="11">
        <v>1005000</v>
      </c>
      <c r="D32" s="11">
        <v>465000</v>
      </c>
      <c r="E32" s="11">
        <v>465000</v>
      </c>
      <c r="F32" s="11">
        <v>310000</v>
      </c>
      <c r="G32" s="11">
        <v>0</v>
      </c>
    </row>
    <row r="33" spans="1:7" ht="12.5" customHeight="1" x14ac:dyDescent="0.45">
      <c r="A33" s="10" t="s">
        <v>43</v>
      </c>
      <c r="B33" s="11">
        <v>310000</v>
      </c>
      <c r="C33" s="11">
        <v>0</v>
      </c>
      <c r="D33" s="11">
        <v>0</v>
      </c>
      <c r="E33" s="11">
        <v>310000</v>
      </c>
      <c r="F33" s="11">
        <v>0</v>
      </c>
      <c r="G33" s="11">
        <v>0</v>
      </c>
    </row>
    <row r="34" spans="1:7" ht="12.5" customHeight="1" x14ac:dyDescent="0.45">
      <c r="A34" s="10" t="s">
        <v>46</v>
      </c>
      <c r="B34" s="11">
        <v>574187470</v>
      </c>
      <c r="C34" s="11">
        <v>2403940</v>
      </c>
      <c r="D34" s="11">
        <v>178439090</v>
      </c>
      <c r="E34" s="11">
        <v>245481430</v>
      </c>
      <c r="F34" s="11">
        <v>115118350</v>
      </c>
      <c r="G34" s="11">
        <v>32744660</v>
      </c>
    </row>
    <row r="35" spans="1:7" ht="12.5" customHeight="1" x14ac:dyDescent="0.45">
      <c r="A35" s="10" t="s">
        <v>47</v>
      </c>
      <c r="B35" s="11">
        <v>96921490</v>
      </c>
      <c r="C35" s="11">
        <v>404050</v>
      </c>
      <c r="D35" s="11">
        <v>29865180</v>
      </c>
      <c r="E35" s="11">
        <v>41723020</v>
      </c>
      <c r="F35" s="11">
        <v>19312340</v>
      </c>
      <c r="G35" s="11">
        <v>5616900</v>
      </c>
    </row>
    <row r="36" spans="1:7" ht="12.5" customHeight="1" x14ac:dyDescent="0.45">
      <c r="A36" s="10" t="s">
        <v>48</v>
      </c>
      <c r="B36" s="11">
        <v>20738720</v>
      </c>
      <c r="C36" s="11">
        <v>0</v>
      </c>
      <c r="D36" s="11">
        <v>6245170</v>
      </c>
      <c r="E36" s="11">
        <v>9800000</v>
      </c>
      <c r="F36" s="11">
        <v>4100000</v>
      </c>
      <c r="G36" s="11">
        <v>593550</v>
      </c>
    </row>
    <row r="37" spans="1:7" ht="12.5" customHeight="1" x14ac:dyDescent="0.45">
      <c r="A37" s="10" t="s">
        <v>49</v>
      </c>
      <c r="B37" s="11">
        <v>40485000</v>
      </c>
      <c r="C37" s="11">
        <v>155000</v>
      </c>
      <c r="D37" s="11">
        <v>12730000</v>
      </c>
      <c r="E37" s="11">
        <v>17395000</v>
      </c>
      <c r="F37" s="11">
        <v>7970000</v>
      </c>
      <c r="G37" s="11">
        <v>2235000</v>
      </c>
    </row>
    <row r="38" spans="1:7" ht="12.5" customHeight="1" x14ac:dyDescent="0.45">
      <c r="A38" s="10" t="s">
        <v>52</v>
      </c>
      <c r="B38" s="11">
        <v>1381880</v>
      </c>
      <c r="C38" s="11">
        <v>0</v>
      </c>
      <c r="D38" s="11">
        <v>171280</v>
      </c>
      <c r="E38" s="11">
        <v>0</v>
      </c>
      <c r="F38" s="11">
        <v>1210600</v>
      </c>
      <c r="G38" s="11">
        <v>0</v>
      </c>
    </row>
    <row r="39" spans="1:7" ht="12.5" customHeight="1" x14ac:dyDescent="0.45">
      <c r="A39" s="10" t="s">
        <v>53</v>
      </c>
      <c r="B39" s="11">
        <v>2590560</v>
      </c>
      <c r="C39" s="11">
        <v>0</v>
      </c>
      <c r="D39" s="11">
        <v>0</v>
      </c>
      <c r="E39" s="11">
        <v>0</v>
      </c>
      <c r="F39" s="11">
        <v>0</v>
      </c>
      <c r="G39" s="11">
        <v>2590560</v>
      </c>
    </row>
    <row r="40" spans="1:7" ht="12.5" customHeight="1" x14ac:dyDescent="0.45">
      <c r="A40" s="10" t="s">
        <v>56</v>
      </c>
      <c r="B40" s="11">
        <v>2603780</v>
      </c>
      <c r="C40" s="11">
        <v>0</v>
      </c>
      <c r="D40" s="11">
        <v>997570</v>
      </c>
      <c r="E40" s="11">
        <v>938080</v>
      </c>
      <c r="F40" s="11">
        <v>668130</v>
      </c>
      <c r="G40" s="11">
        <v>0</v>
      </c>
    </row>
    <row r="41" spans="1:7" ht="12.5" customHeight="1" x14ac:dyDescent="0.45">
      <c r="A41" s="10" t="s">
        <v>61</v>
      </c>
      <c r="B41" s="11">
        <v>321873840</v>
      </c>
      <c r="C41" s="11">
        <v>22454550</v>
      </c>
      <c r="D41" s="11">
        <v>104019380</v>
      </c>
      <c r="E41" s="11">
        <v>122993880</v>
      </c>
      <c r="F41" s="11">
        <v>60256030</v>
      </c>
      <c r="G41" s="11">
        <v>12150000</v>
      </c>
    </row>
    <row r="42" spans="1:7" ht="12.5" customHeight="1" x14ac:dyDescent="0.45">
      <c r="A42" s="10" t="s">
        <v>62</v>
      </c>
      <c r="B42" s="11">
        <v>56033490</v>
      </c>
      <c r="C42" s="11">
        <v>20479550</v>
      </c>
      <c r="D42" s="11">
        <v>10872580</v>
      </c>
      <c r="E42" s="11">
        <v>16808490</v>
      </c>
      <c r="F42" s="11">
        <v>7872870</v>
      </c>
      <c r="G42" s="11">
        <v>0</v>
      </c>
    </row>
    <row r="43" spans="1:7" ht="12.5" customHeight="1" x14ac:dyDescent="0.45">
      <c r="A43" s="10" t="s">
        <v>65</v>
      </c>
      <c r="B43" s="11">
        <v>200000</v>
      </c>
      <c r="C43" s="11">
        <v>0</v>
      </c>
      <c r="D43" s="11">
        <v>0</v>
      </c>
      <c r="E43" s="11">
        <v>200000</v>
      </c>
      <c r="F43" s="11">
        <v>0</v>
      </c>
      <c r="G43" s="11">
        <v>0</v>
      </c>
    </row>
    <row r="44" spans="1:7" ht="12.5" customHeight="1" x14ac:dyDescent="0.45">
      <c r="A44" s="10" t="s">
        <v>66</v>
      </c>
      <c r="B44" s="11">
        <v>265140350</v>
      </c>
      <c r="C44" s="11">
        <v>1975000</v>
      </c>
      <c r="D44" s="11">
        <v>93146800</v>
      </c>
      <c r="E44" s="11">
        <v>105985390</v>
      </c>
      <c r="F44" s="11">
        <v>52383160</v>
      </c>
      <c r="G44" s="11">
        <v>11650000</v>
      </c>
    </row>
    <row r="45" spans="1:7" ht="12.5" customHeight="1" x14ac:dyDescent="0.45">
      <c r="A45" s="10" t="s">
        <v>67</v>
      </c>
      <c r="B45" s="11">
        <v>500000</v>
      </c>
      <c r="C45" s="11">
        <v>0</v>
      </c>
      <c r="D45" s="11">
        <v>0</v>
      </c>
      <c r="E45" s="11">
        <v>0</v>
      </c>
      <c r="F45" s="11">
        <v>0</v>
      </c>
      <c r="G45" s="11">
        <v>500000</v>
      </c>
    </row>
    <row r="46" spans="1:7" ht="12.5" customHeight="1" x14ac:dyDescent="0.45">
      <c r="A46" s="10" t="s">
        <v>69</v>
      </c>
      <c r="B46" s="11">
        <v>102796228</v>
      </c>
      <c r="C46" s="11">
        <v>5401403</v>
      </c>
      <c r="D46" s="11">
        <v>30423353</v>
      </c>
      <c r="E46" s="11">
        <v>42543302</v>
      </c>
      <c r="F46" s="11">
        <v>17191775</v>
      </c>
      <c r="G46" s="11">
        <v>7236395</v>
      </c>
    </row>
    <row r="47" spans="1:7" ht="12.5" customHeight="1" x14ac:dyDescent="0.45">
      <c r="A47" s="10" t="s">
        <v>70</v>
      </c>
      <c r="B47" s="11">
        <v>102796228</v>
      </c>
      <c r="C47" s="11">
        <v>5401403</v>
      </c>
      <c r="D47" s="11">
        <v>30423353</v>
      </c>
      <c r="E47" s="11">
        <v>42543302</v>
      </c>
      <c r="F47" s="11">
        <v>17191775</v>
      </c>
      <c r="G47" s="11">
        <v>7236395</v>
      </c>
    </row>
    <row r="48" spans="1:7" ht="12.5" customHeight="1" x14ac:dyDescent="0.45">
      <c r="A48" s="10" t="s">
        <v>71</v>
      </c>
      <c r="B48" s="11">
        <v>12500000</v>
      </c>
      <c r="C48" s="11">
        <v>0</v>
      </c>
      <c r="D48" s="11">
        <v>4000000</v>
      </c>
      <c r="E48" s="11">
        <v>2000000</v>
      </c>
      <c r="F48" s="11">
        <v>4500000</v>
      </c>
      <c r="G48" s="11">
        <v>2000000</v>
      </c>
    </row>
    <row r="49" spans="1:7" ht="12.5" customHeight="1" x14ac:dyDescent="0.45">
      <c r="A49" s="10" t="s">
        <v>252</v>
      </c>
      <c r="B49" s="11">
        <v>12500000</v>
      </c>
      <c r="C49" s="11">
        <v>0</v>
      </c>
      <c r="D49" s="11">
        <v>4000000</v>
      </c>
      <c r="E49" s="11">
        <v>2000000</v>
      </c>
      <c r="F49" s="11">
        <v>4500000</v>
      </c>
      <c r="G49" s="11">
        <v>2000000</v>
      </c>
    </row>
    <row r="50" spans="1:7" ht="12.5" customHeight="1" x14ac:dyDescent="0.45">
      <c r="A50" s="10" t="s">
        <v>72</v>
      </c>
      <c r="B50" s="11">
        <v>312425129</v>
      </c>
      <c r="C50" s="11">
        <v>7062730</v>
      </c>
      <c r="D50" s="11">
        <v>107655540</v>
      </c>
      <c r="E50" s="11">
        <v>118179341</v>
      </c>
      <c r="F50" s="11">
        <v>49696679</v>
      </c>
      <c r="G50" s="11">
        <v>29830839</v>
      </c>
    </row>
    <row r="51" spans="1:7" ht="12.5" customHeight="1" x14ac:dyDescent="0.45">
      <c r="A51" s="10" t="s">
        <v>74</v>
      </c>
      <c r="B51" s="11">
        <v>8461188</v>
      </c>
      <c r="C51" s="11">
        <v>463511</v>
      </c>
      <c r="D51" s="11">
        <v>2635343</v>
      </c>
      <c r="E51" s="11">
        <v>3306196</v>
      </c>
      <c r="F51" s="11">
        <v>1552771</v>
      </c>
      <c r="G51" s="11">
        <v>503367</v>
      </c>
    </row>
    <row r="52" spans="1:7" ht="12.5" customHeight="1" x14ac:dyDescent="0.45">
      <c r="A52" s="10" t="s">
        <v>75</v>
      </c>
      <c r="B52" s="11">
        <v>48155330</v>
      </c>
      <c r="C52" s="11">
        <v>2530310</v>
      </c>
      <c r="D52" s="11">
        <v>14251950</v>
      </c>
      <c r="E52" s="11">
        <v>19929590</v>
      </c>
      <c r="F52" s="11">
        <v>8053560</v>
      </c>
      <c r="G52" s="11">
        <v>3389920</v>
      </c>
    </row>
    <row r="53" spans="1:7" ht="12.5" customHeight="1" x14ac:dyDescent="0.45">
      <c r="A53" s="10" t="s">
        <v>76</v>
      </c>
      <c r="B53" s="11">
        <v>47916830</v>
      </c>
      <c r="C53" s="11">
        <v>2009600</v>
      </c>
      <c r="D53" s="11">
        <v>14321180</v>
      </c>
      <c r="E53" s="11">
        <v>20845630</v>
      </c>
      <c r="F53" s="11">
        <v>7962630</v>
      </c>
      <c r="G53" s="11">
        <v>2777790</v>
      </c>
    </row>
    <row r="54" spans="1:7" ht="12.5" customHeight="1" x14ac:dyDescent="0.45">
      <c r="A54" s="10" t="s">
        <v>77</v>
      </c>
      <c r="B54" s="11">
        <v>17128417</v>
      </c>
      <c r="C54" s="11">
        <v>938309</v>
      </c>
      <c r="D54" s="11">
        <v>5334859</v>
      </c>
      <c r="E54" s="11">
        <v>6692905</v>
      </c>
      <c r="F54" s="11">
        <v>3143353</v>
      </c>
      <c r="G54" s="11">
        <v>1018991</v>
      </c>
    </row>
    <row r="55" spans="1:7" ht="12.5" customHeight="1" x14ac:dyDescent="0.45">
      <c r="A55" s="10" t="s">
        <v>79</v>
      </c>
      <c r="B55" s="11">
        <v>82976214</v>
      </c>
      <c r="C55" s="11">
        <v>0</v>
      </c>
      <c r="D55" s="11">
        <v>39682634</v>
      </c>
      <c r="E55" s="11">
        <v>36065580</v>
      </c>
      <c r="F55" s="11">
        <v>7228000</v>
      </c>
      <c r="G55" s="11">
        <v>0</v>
      </c>
    </row>
    <row r="56" spans="1:7" ht="12.5" customHeight="1" x14ac:dyDescent="0.45">
      <c r="A56" s="10" t="s">
        <v>80</v>
      </c>
      <c r="B56" s="11">
        <v>2400000</v>
      </c>
      <c r="C56" s="11">
        <v>200000</v>
      </c>
      <c r="D56" s="11">
        <v>800000</v>
      </c>
      <c r="E56" s="11">
        <v>1000000</v>
      </c>
      <c r="F56" s="11">
        <v>400000</v>
      </c>
      <c r="G56" s="11">
        <v>0</v>
      </c>
    </row>
    <row r="57" spans="1:7" ht="12.5" customHeight="1" x14ac:dyDescent="0.45">
      <c r="A57" s="10" t="s">
        <v>81</v>
      </c>
      <c r="B57" s="11">
        <v>33000</v>
      </c>
      <c r="C57" s="11">
        <v>33000</v>
      </c>
      <c r="D57" s="11">
        <v>0</v>
      </c>
      <c r="E57" s="11">
        <v>0</v>
      </c>
      <c r="F57" s="11">
        <v>0</v>
      </c>
      <c r="G57" s="11">
        <v>0</v>
      </c>
    </row>
    <row r="58" spans="1:7" ht="12.5" customHeight="1" x14ac:dyDescent="0.45">
      <c r="A58" s="10" t="s">
        <v>82</v>
      </c>
      <c r="B58" s="11">
        <v>1332879</v>
      </c>
      <c r="C58" s="11">
        <v>38000</v>
      </c>
      <c r="D58" s="11">
        <v>412074</v>
      </c>
      <c r="E58" s="11">
        <v>716440</v>
      </c>
      <c r="F58" s="11">
        <v>166365</v>
      </c>
      <c r="G58" s="11">
        <v>0</v>
      </c>
    </row>
    <row r="59" spans="1:7" ht="12.5" customHeight="1" x14ac:dyDescent="0.45">
      <c r="A59" s="10" t="s">
        <v>103</v>
      </c>
      <c r="B59" s="11">
        <v>30500000</v>
      </c>
      <c r="C59" s="11">
        <v>850000</v>
      </c>
      <c r="D59" s="11">
        <v>9550000</v>
      </c>
      <c r="E59" s="11">
        <v>12100000</v>
      </c>
      <c r="F59" s="11">
        <v>6600000</v>
      </c>
      <c r="G59" s="11">
        <v>1400000</v>
      </c>
    </row>
    <row r="60" spans="1:7" ht="12.5" customHeight="1" x14ac:dyDescent="0.45">
      <c r="A60" s="10" t="s">
        <v>107</v>
      </c>
      <c r="B60" s="11">
        <v>73521271</v>
      </c>
      <c r="C60" s="11">
        <v>0</v>
      </c>
      <c r="D60" s="11">
        <v>20667500</v>
      </c>
      <c r="E60" s="11">
        <v>17523000</v>
      </c>
      <c r="F60" s="11">
        <v>14590000</v>
      </c>
      <c r="G60" s="11">
        <v>20740771</v>
      </c>
    </row>
    <row r="61" spans="1:7" ht="12.5" customHeight="1" x14ac:dyDescent="0.45">
      <c r="A61" s="10" t="s">
        <v>113</v>
      </c>
      <c r="B61" s="11">
        <v>1975070</v>
      </c>
      <c r="C61" s="11">
        <v>167500</v>
      </c>
      <c r="D61" s="11">
        <v>543600</v>
      </c>
      <c r="E61" s="11">
        <v>710040</v>
      </c>
      <c r="F61" s="11">
        <v>553930</v>
      </c>
      <c r="G61" s="11">
        <v>0</v>
      </c>
    </row>
    <row r="62" spans="1:7" ht="12.5" customHeight="1" x14ac:dyDescent="0.45">
      <c r="A62" s="10" t="s">
        <v>114</v>
      </c>
      <c r="B62" s="11">
        <v>167500</v>
      </c>
      <c r="C62" s="11">
        <v>167500</v>
      </c>
      <c r="D62" s="11">
        <v>0</v>
      </c>
      <c r="E62" s="11">
        <v>0</v>
      </c>
      <c r="F62" s="11">
        <v>0</v>
      </c>
      <c r="G62" s="11">
        <v>0</v>
      </c>
    </row>
    <row r="63" spans="1:7" ht="12.5" customHeight="1" x14ac:dyDescent="0.45">
      <c r="A63" s="10" t="s">
        <v>117</v>
      </c>
      <c r="B63" s="11">
        <v>1807570</v>
      </c>
      <c r="C63" s="11">
        <v>0</v>
      </c>
      <c r="D63" s="11">
        <v>543600</v>
      </c>
      <c r="E63" s="11">
        <v>710040</v>
      </c>
      <c r="F63" s="11">
        <v>553930</v>
      </c>
      <c r="G63" s="11">
        <v>0</v>
      </c>
    </row>
    <row r="64" spans="1:7" ht="12.5" customHeight="1" x14ac:dyDescent="0.45">
      <c r="A64" s="10" t="s">
        <v>124</v>
      </c>
      <c r="B64" s="11">
        <v>3431602</v>
      </c>
      <c r="C64" s="11">
        <v>8730</v>
      </c>
      <c r="D64" s="11">
        <v>1186198</v>
      </c>
      <c r="E64" s="11">
        <v>1065506</v>
      </c>
      <c r="F64" s="11">
        <v>716218</v>
      </c>
      <c r="G64" s="11">
        <v>454950</v>
      </c>
    </row>
    <row r="65" spans="1:7" ht="12.5" customHeight="1" x14ac:dyDescent="0.45">
      <c r="A65" s="10" t="s">
        <v>125</v>
      </c>
      <c r="B65" s="11">
        <v>2216182</v>
      </c>
      <c r="C65" s="11">
        <v>0</v>
      </c>
      <c r="D65" s="11">
        <v>992278</v>
      </c>
      <c r="E65" s="11">
        <v>629686</v>
      </c>
      <c r="F65" s="11">
        <v>594218</v>
      </c>
      <c r="G65" s="11">
        <v>0</v>
      </c>
    </row>
    <row r="66" spans="1:7" ht="12.5" customHeight="1" x14ac:dyDescent="0.45">
      <c r="A66" s="10" t="s">
        <v>128</v>
      </c>
      <c r="B66" s="11">
        <v>1215420</v>
      </c>
      <c r="C66" s="11">
        <v>8730</v>
      </c>
      <c r="D66" s="11">
        <v>193920</v>
      </c>
      <c r="E66" s="11">
        <v>435820</v>
      </c>
      <c r="F66" s="11">
        <v>122000</v>
      </c>
      <c r="G66" s="11">
        <v>454950</v>
      </c>
    </row>
    <row r="67" spans="1:7" ht="12.5" customHeight="1" x14ac:dyDescent="0.45">
      <c r="A67" s="10" t="s">
        <v>131</v>
      </c>
      <c r="B67" s="11">
        <v>8963164</v>
      </c>
      <c r="C67" s="11">
        <v>0</v>
      </c>
      <c r="D67" s="11">
        <v>4383128</v>
      </c>
      <c r="E67" s="11">
        <v>3901895</v>
      </c>
      <c r="F67" s="11">
        <v>678141</v>
      </c>
      <c r="G67" s="11">
        <v>0</v>
      </c>
    </row>
    <row r="68" spans="1:7" ht="12.5" customHeight="1" x14ac:dyDescent="0.45">
      <c r="A68" s="10" t="s">
        <v>132</v>
      </c>
      <c r="B68" s="11">
        <v>8963164</v>
      </c>
      <c r="C68" s="11">
        <v>0</v>
      </c>
      <c r="D68" s="11">
        <v>4383128</v>
      </c>
      <c r="E68" s="11">
        <v>3901895</v>
      </c>
      <c r="F68" s="11">
        <v>678141</v>
      </c>
      <c r="G68" s="11">
        <v>0</v>
      </c>
    </row>
    <row r="69" spans="1:7" ht="12.5" customHeight="1" x14ac:dyDescent="0.45">
      <c r="A69" s="10" t="s">
        <v>139</v>
      </c>
      <c r="B69" s="11">
        <v>5480274</v>
      </c>
      <c r="C69" s="11">
        <v>1800000</v>
      </c>
      <c r="D69" s="11">
        <v>0</v>
      </c>
      <c r="E69" s="11">
        <v>3546941</v>
      </c>
      <c r="F69" s="11">
        <v>133333</v>
      </c>
      <c r="G69" s="11">
        <v>0</v>
      </c>
    </row>
    <row r="70" spans="1:7" ht="12.5" customHeight="1" x14ac:dyDescent="0.45">
      <c r="A70" s="10" t="s">
        <v>140</v>
      </c>
      <c r="B70" s="11">
        <v>125279082</v>
      </c>
      <c r="C70" s="11">
        <v>36671785</v>
      </c>
      <c r="D70" s="11">
        <v>22851549</v>
      </c>
      <c r="E70" s="11">
        <v>19839518</v>
      </c>
      <c r="F70" s="11">
        <v>45916230</v>
      </c>
      <c r="G70" s="11">
        <v>0</v>
      </c>
    </row>
    <row r="71" spans="1:7" ht="12.5" customHeight="1" x14ac:dyDescent="0.45">
      <c r="A71" s="10" t="s">
        <v>141</v>
      </c>
      <c r="B71" s="11">
        <v>23059000</v>
      </c>
      <c r="C71" s="11">
        <v>2408000</v>
      </c>
      <c r="D71" s="11">
        <v>1617000</v>
      </c>
      <c r="E71" s="11">
        <v>2695000</v>
      </c>
      <c r="F71" s="11">
        <v>16339000</v>
      </c>
      <c r="G71" s="11">
        <v>0</v>
      </c>
    </row>
    <row r="72" spans="1:7" ht="12.5" customHeight="1" x14ac:dyDescent="0.45">
      <c r="A72" s="10" t="s">
        <v>143</v>
      </c>
      <c r="B72" s="11">
        <v>48506696</v>
      </c>
      <c r="C72" s="11">
        <v>26008696</v>
      </c>
      <c r="D72" s="11">
        <v>0</v>
      </c>
      <c r="E72" s="11">
        <v>0</v>
      </c>
      <c r="F72" s="11">
        <v>22498000</v>
      </c>
      <c r="G72" s="11">
        <v>0</v>
      </c>
    </row>
    <row r="73" spans="1:7" ht="12.5" customHeight="1" x14ac:dyDescent="0.45">
      <c r="A73" s="10" t="s">
        <v>144</v>
      </c>
      <c r="B73" s="11">
        <v>53713386</v>
      </c>
      <c r="C73" s="11">
        <v>8255089</v>
      </c>
      <c r="D73" s="11">
        <v>21234549</v>
      </c>
      <c r="E73" s="11">
        <v>17144518</v>
      </c>
      <c r="F73" s="11">
        <v>7079230</v>
      </c>
      <c r="G73" s="11">
        <v>0</v>
      </c>
    </row>
    <row r="74" spans="1:7" ht="12.5" customHeight="1" x14ac:dyDescent="0.45">
      <c r="A74" s="10" t="s">
        <v>154</v>
      </c>
      <c r="B74" s="11">
        <v>12141170</v>
      </c>
      <c r="C74" s="11">
        <v>1534905</v>
      </c>
      <c r="D74" s="11">
        <v>554521</v>
      </c>
      <c r="E74" s="11">
        <v>978263</v>
      </c>
      <c r="F74" s="11">
        <v>7250277</v>
      </c>
      <c r="G74" s="11">
        <v>1823204</v>
      </c>
    </row>
    <row r="75" spans="1:7" ht="12.5" customHeight="1" x14ac:dyDescent="0.45">
      <c r="A75" s="10" t="s">
        <v>155</v>
      </c>
      <c r="B75" s="11">
        <v>2598550</v>
      </c>
      <c r="C75" s="11">
        <v>440100</v>
      </c>
      <c r="D75" s="11">
        <v>147660</v>
      </c>
      <c r="E75" s="11">
        <v>239050</v>
      </c>
      <c r="F75" s="11">
        <v>1466620</v>
      </c>
      <c r="G75" s="11">
        <v>305120</v>
      </c>
    </row>
    <row r="76" spans="1:7" ht="12.5" customHeight="1" x14ac:dyDescent="0.45">
      <c r="A76" s="10" t="s">
        <v>156</v>
      </c>
      <c r="B76" s="11">
        <v>551000</v>
      </c>
      <c r="C76" s="11">
        <v>551000</v>
      </c>
      <c r="D76" s="11">
        <v>0</v>
      </c>
      <c r="E76" s="11">
        <v>0</v>
      </c>
      <c r="F76" s="11">
        <v>0</v>
      </c>
      <c r="G76" s="11">
        <v>0</v>
      </c>
    </row>
    <row r="77" spans="1:7" ht="12.5" customHeight="1" x14ac:dyDescent="0.45">
      <c r="A77" s="10" t="s">
        <v>157</v>
      </c>
      <c r="B77" s="11">
        <v>1331475</v>
      </c>
      <c r="C77" s="11">
        <v>0</v>
      </c>
      <c r="D77" s="11">
        <v>15000</v>
      </c>
      <c r="E77" s="11">
        <v>166000</v>
      </c>
      <c r="F77" s="11">
        <v>250000</v>
      </c>
      <c r="G77" s="11">
        <v>900475</v>
      </c>
    </row>
    <row r="78" spans="1:7" ht="12.5" customHeight="1" x14ac:dyDescent="0.45">
      <c r="A78" s="10" t="s">
        <v>158</v>
      </c>
      <c r="B78" s="11">
        <v>7660145</v>
      </c>
      <c r="C78" s="11">
        <v>543805</v>
      </c>
      <c r="D78" s="11">
        <v>391861</v>
      </c>
      <c r="E78" s="11">
        <v>573213</v>
      </c>
      <c r="F78" s="11">
        <v>5533657</v>
      </c>
      <c r="G78" s="11">
        <v>617609</v>
      </c>
    </row>
    <row r="79" spans="1:7" ht="12.5" customHeight="1" x14ac:dyDescent="0.45">
      <c r="A79" s="10" t="s">
        <v>162</v>
      </c>
      <c r="B79" s="11">
        <v>28416500</v>
      </c>
      <c r="C79" s="11">
        <v>0</v>
      </c>
      <c r="D79" s="11">
        <v>5574000</v>
      </c>
      <c r="E79" s="11">
        <v>7725000</v>
      </c>
      <c r="F79" s="11">
        <v>15117500</v>
      </c>
      <c r="G79" s="11">
        <v>0</v>
      </c>
    </row>
    <row r="80" spans="1:7" ht="12.5" customHeight="1" x14ac:dyDescent="0.45">
      <c r="A80" s="10" t="s">
        <v>164</v>
      </c>
      <c r="B80" s="11">
        <v>28416500</v>
      </c>
      <c r="C80" s="11">
        <v>0</v>
      </c>
      <c r="D80" s="11">
        <v>5574000</v>
      </c>
      <c r="E80" s="11">
        <v>7725000</v>
      </c>
      <c r="F80" s="11">
        <v>15117500</v>
      </c>
      <c r="G80" s="11">
        <v>0</v>
      </c>
    </row>
    <row r="81" spans="1:7" ht="12.5" customHeight="1" x14ac:dyDescent="0.45">
      <c r="A81" s="10" t="s">
        <v>169</v>
      </c>
      <c r="B81" s="11">
        <v>1126545</v>
      </c>
      <c r="C81" s="11">
        <v>407273</v>
      </c>
      <c r="D81" s="11">
        <v>144545</v>
      </c>
      <c r="E81" s="11">
        <v>52000</v>
      </c>
      <c r="F81" s="11">
        <v>522727</v>
      </c>
      <c r="G81" s="11">
        <v>0</v>
      </c>
    </row>
    <row r="82" spans="1:7" ht="12.5" customHeight="1" x14ac:dyDescent="0.45">
      <c r="A82" s="10" t="s">
        <v>170</v>
      </c>
      <c r="B82" s="11">
        <v>22727</v>
      </c>
      <c r="C82" s="11">
        <v>0</v>
      </c>
      <c r="D82" s="11">
        <v>0</v>
      </c>
      <c r="E82" s="11">
        <v>0</v>
      </c>
      <c r="F82" s="11">
        <v>22727</v>
      </c>
      <c r="G82" s="11">
        <v>0</v>
      </c>
    </row>
    <row r="83" spans="1:7" ht="12.5" customHeight="1" x14ac:dyDescent="0.45">
      <c r="A83" s="10" t="s">
        <v>172</v>
      </c>
      <c r="B83" s="11">
        <v>1103818</v>
      </c>
      <c r="C83" s="11">
        <v>407273</v>
      </c>
      <c r="D83" s="11">
        <v>144545</v>
      </c>
      <c r="E83" s="11">
        <v>52000</v>
      </c>
      <c r="F83" s="11">
        <v>500000</v>
      </c>
      <c r="G83" s="11">
        <v>0</v>
      </c>
    </row>
    <row r="84" spans="1:7" ht="12.5" customHeight="1" x14ac:dyDescent="0.45">
      <c r="A84" s="10" t="s">
        <v>179</v>
      </c>
      <c r="B84" s="11">
        <v>46277404</v>
      </c>
      <c r="C84" s="11">
        <v>8429975</v>
      </c>
      <c r="D84" s="11">
        <v>12230948</v>
      </c>
      <c r="E84" s="11">
        <v>16279227</v>
      </c>
      <c r="F84" s="11">
        <v>5345219</v>
      </c>
      <c r="G84" s="11">
        <v>3992035</v>
      </c>
    </row>
    <row r="85" spans="1:7" ht="12.5" customHeight="1" x14ac:dyDescent="0.45">
      <c r="A85" s="10" t="s">
        <v>180</v>
      </c>
      <c r="B85" s="11">
        <v>7667496</v>
      </c>
      <c r="C85" s="11">
        <v>0</v>
      </c>
      <c r="D85" s="11">
        <v>2314503</v>
      </c>
      <c r="E85" s="11">
        <v>3371732</v>
      </c>
      <c r="F85" s="11">
        <v>1857627</v>
      </c>
      <c r="G85" s="11">
        <v>123634</v>
      </c>
    </row>
    <row r="86" spans="1:7" ht="12.5" customHeight="1" x14ac:dyDescent="0.45">
      <c r="A86" s="10" t="s">
        <v>182</v>
      </c>
      <c r="B86" s="11">
        <v>1981250</v>
      </c>
      <c r="C86" s="11">
        <v>1338185</v>
      </c>
      <c r="D86" s="11">
        <v>333908</v>
      </c>
      <c r="E86" s="11">
        <v>0</v>
      </c>
      <c r="F86" s="11">
        <v>309157</v>
      </c>
      <c r="G86" s="11">
        <v>0</v>
      </c>
    </row>
    <row r="87" spans="1:7" ht="12.5" customHeight="1" x14ac:dyDescent="0.45">
      <c r="A87" s="10" t="s">
        <v>183</v>
      </c>
      <c r="B87" s="11">
        <v>869373</v>
      </c>
      <c r="C87" s="11">
        <v>0</v>
      </c>
      <c r="D87" s="11">
        <v>294637</v>
      </c>
      <c r="E87" s="11">
        <v>296273</v>
      </c>
      <c r="F87" s="11">
        <v>278463</v>
      </c>
      <c r="G87" s="11">
        <v>0</v>
      </c>
    </row>
    <row r="88" spans="1:7" ht="12.5" customHeight="1" x14ac:dyDescent="0.45">
      <c r="A88" s="10" t="s">
        <v>186</v>
      </c>
      <c r="B88" s="11">
        <v>10890638</v>
      </c>
      <c r="C88" s="11">
        <v>5141740</v>
      </c>
      <c r="D88" s="11">
        <v>0</v>
      </c>
      <c r="E88" s="11">
        <v>3047016</v>
      </c>
      <c r="F88" s="11">
        <v>2701882</v>
      </c>
      <c r="G88" s="11">
        <v>0</v>
      </c>
    </row>
    <row r="89" spans="1:7" ht="12.5" customHeight="1" x14ac:dyDescent="0.45">
      <c r="A89" s="10" t="s">
        <v>187</v>
      </c>
      <c r="B89" s="11">
        <v>24499921</v>
      </c>
      <c r="C89" s="11">
        <v>1950050</v>
      </c>
      <c r="D89" s="11">
        <v>9190264</v>
      </c>
      <c r="E89" s="11">
        <v>9491206</v>
      </c>
      <c r="F89" s="11">
        <v>0</v>
      </c>
      <c r="G89" s="11">
        <v>3868401</v>
      </c>
    </row>
    <row r="90" spans="1:7" ht="12.5" customHeight="1" x14ac:dyDescent="0.45">
      <c r="A90" s="10" t="s">
        <v>189</v>
      </c>
      <c r="B90" s="11">
        <v>368726</v>
      </c>
      <c r="C90" s="11">
        <v>0</v>
      </c>
      <c r="D90" s="11">
        <v>97636</v>
      </c>
      <c r="E90" s="11">
        <v>73000</v>
      </c>
      <c r="F90" s="11">
        <v>198090</v>
      </c>
      <c r="G90" s="11">
        <v>0</v>
      </c>
    </row>
    <row r="91" spans="1:7" ht="12.5" customHeight="1" x14ac:dyDescent="0.45">
      <c r="A91" s="10" t="s">
        <v>191</v>
      </c>
      <c r="B91" s="11">
        <v>14596857</v>
      </c>
      <c r="C91" s="11">
        <v>140090</v>
      </c>
      <c r="D91" s="11">
        <v>6959029</v>
      </c>
      <c r="E91" s="11">
        <v>6569071</v>
      </c>
      <c r="F91" s="11">
        <v>829717</v>
      </c>
      <c r="G91" s="11">
        <v>98950</v>
      </c>
    </row>
    <row r="92" spans="1:7" ht="12.5" customHeight="1" x14ac:dyDescent="0.45">
      <c r="A92" s="10" t="s">
        <v>192</v>
      </c>
      <c r="B92" s="11">
        <v>6201250</v>
      </c>
      <c r="C92" s="11">
        <v>0</v>
      </c>
      <c r="D92" s="11">
        <v>2016415</v>
      </c>
      <c r="E92" s="11">
        <v>3407775</v>
      </c>
      <c r="F92" s="11">
        <v>718110</v>
      </c>
      <c r="G92" s="11">
        <v>58950</v>
      </c>
    </row>
    <row r="93" spans="1:7" ht="12.5" customHeight="1" x14ac:dyDescent="0.45">
      <c r="A93" s="10" t="s">
        <v>193</v>
      </c>
      <c r="B93" s="11">
        <v>5519311</v>
      </c>
      <c r="C93" s="11">
        <v>0</v>
      </c>
      <c r="D93" s="11">
        <v>3607949</v>
      </c>
      <c r="E93" s="11">
        <v>1911362</v>
      </c>
      <c r="F93" s="11">
        <v>0</v>
      </c>
      <c r="G93" s="11">
        <v>0</v>
      </c>
    </row>
    <row r="94" spans="1:7" ht="12.5" customHeight="1" x14ac:dyDescent="0.45">
      <c r="A94" s="10" t="s">
        <v>194</v>
      </c>
      <c r="B94" s="11">
        <v>2876296</v>
      </c>
      <c r="C94" s="11">
        <v>140090</v>
      </c>
      <c r="D94" s="11">
        <v>1334665</v>
      </c>
      <c r="E94" s="11">
        <v>1249934</v>
      </c>
      <c r="F94" s="11">
        <v>111607</v>
      </c>
      <c r="G94" s="11">
        <v>40000</v>
      </c>
    </row>
    <row r="95" spans="1:7" ht="12.5" customHeight="1" x14ac:dyDescent="0.45">
      <c r="A95" s="10" t="s">
        <v>197</v>
      </c>
      <c r="B95" s="11">
        <v>15882298</v>
      </c>
      <c r="C95" s="11">
        <v>7984700</v>
      </c>
      <c r="D95" s="11">
        <v>2556273</v>
      </c>
      <c r="E95" s="11">
        <v>4421148</v>
      </c>
      <c r="F95" s="11">
        <v>920177</v>
      </c>
      <c r="G95" s="11">
        <v>0</v>
      </c>
    </row>
    <row r="96" spans="1:7" ht="12.5" customHeight="1" x14ac:dyDescent="0.45">
      <c r="A96" s="10" t="s">
        <v>202</v>
      </c>
      <c r="B96" s="11">
        <v>4069558</v>
      </c>
      <c r="C96" s="11">
        <v>106000</v>
      </c>
      <c r="D96" s="11">
        <v>1484000</v>
      </c>
      <c r="E96" s="11">
        <v>1833000</v>
      </c>
      <c r="F96" s="11">
        <v>646558</v>
      </c>
      <c r="G96" s="11">
        <v>0</v>
      </c>
    </row>
    <row r="97" spans="1:7" ht="12.5" customHeight="1" x14ac:dyDescent="0.45">
      <c r="A97" s="10" t="s">
        <v>204</v>
      </c>
      <c r="B97" s="11">
        <v>1490000</v>
      </c>
      <c r="C97" s="11">
        <v>0</v>
      </c>
      <c r="D97" s="11">
        <v>0</v>
      </c>
      <c r="E97" s="11">
        <v>1490000</v>
      </c>
      <c r="F97" s="11">
        <v>0</v>
      </c>
      <c r="G97" s="11">
        <v>0</v>
      </c>
    </row>
    <row r="98" spans="1:7" ht="12.5" customHeight="1" x14ac:dyDescent="0.45">
      <c r="A98" s="10" t="s">
        <v>205</v>
      </c>
      <c r="B98" s="11">
        <v>2989340</v>
      </c>
      <c r="C98" s="11">
        <v>545300</v>
      </c>
      <c r="D98" s="11">
        <v>1072273</v>
      </c>
      <c r="E98" s="11">
        <v>1098148</v>
      </c>
      <c r="F98" s="11">
        <v>273619</v>
      </c>
      <c r="G98" s="11">
        <v>0</v>
      </c>
    </row>
    <row r="99" spans="1:7" ht="12.5" customHeight="1" x14ac:dyDescent="0.45">
      <c r="A99" s="10" t="s">
        <v>207</v>
      </c>
      <c r="B99" s="11">
        <v>7333400</v>
      </c>
      <c r="C99" s="11">
        <v>7333400</v>
      </c>
      <c r="D99" s="11">
        <v>0</v>
      </c>
      <c r="E99" s="11">
        <v>0</v>
      </c>
      <c r="F99" s="11">
        <v>0</v>
      </c>
      <c r="G99" s="11">
        <v>0</v>
      </c>
    </row>
    <row r="100" spans="1:7" ht="12.5" customHeight="1" x14ac:dyDescent="0.45">
      <c r="A100" s="10" t="s">
        <v>215</v>
      </c>
      <c r="B100" s="11">
        <v>190674118</v>
      </c>
      <c r="C100" s="11">
        <v>3826972</v>
      </c>
      <c r="D100" s="11">
        <v>91729423</v>
      </c>
      <c r="E100" s="11">
        <v>94284197</v>
      </c>
      <c r="F100" s="11">
        <v>114545</v>
      </c>
      <c r="G100" s="11">
        <v>718981</v>
      </c>
    </row>
    <row r="101" spans="1:7" ht="12.5" customHeight="1" x14ac:dyDescent="0.45">
      <c r="A101" s="10" t="s">
        <v>216</v>
      </c>
      <c r="B101" s="11">
        <v>39646530</v>
      </c>
      <c r="C101" s="11">
        <v>0</v>
      </c>
      <c r="D101" s="11">
        <v>32084100</v>
      </c>
      <c r="E101" s="11">
        <v>7562430</v>
      </c>
      <c r="F101" s="11">
        <v>0</v>
      </c>
      <c r="G101" s="11">
        <v>0</v>
      </c>
    </row>
    <row r="102" spans="1:7" ht="12.5" customHeight="1" x14ac:dyDescent="0.45">
      <c r="A102" s="10" t="s">
        <v>219</v>
      </c>
      <c r="B102" s="11">
        <v>2931109</v>
      </c>
      <c r="C102" s="11">
        <v>900000</v>
      </c>
      <c r="D102" s="11">
        <v>1208250</v>
      </c>
      <c r="E102" s="11">
        <v>822859</v>
      </c>
      <c r="F102" s="11">
        <v>0</v>
      </c>
      <c r="G102" s="11">
        <v>0</v>
      </c>
    </row>
    <row r="103" spans="1:7" ht="12.5" customHeight="1" x14ac:dyDescent="0.45">
      <c r="A103" s="10" t="s">
        <v>220</v>
      </c>
      <c r="B103" s="11">
        <v>114057000</v>
      </c>
      <c r="C103" s="11">
        <v>0</v>
      </c>
      <c r="D103" s="11">
        <v>46369500</v>
      </c>
      <c r="E103" s="11">
        <v>67687500</v>
      </c>
      <c r="F103" s="11">
        <v>0</v>
      </c>
      <c r="G103" s="11">
        <v>0</v>
      </c>
    </row>
    <row r="104" spans="1:7" ht="12.5" customHeight="1" x14ac:dyDescent="0.45">
      <c r="A104" s="10" t="s">
        <v>221</v>
      </c>
      <c r="B104" s="11">
        <v>114545</v>
      </c>
      <c r="C104" s="11">
        <v>0</v>
      </c>
      <c r="D104" s="11">
        <v>0</v>
      </c>
      <c r="E104" s="11">
        <v>0</v>
      </c>
      <c r="F104" s="11">
        <v>114545</v>
      </c>
      <c r="G104" s="11">
        <v>0</v>
      </c>
    </row>
    <row r="105" spans="1:7" ht="12.5" customHeight="1" x14ac:dyDescent="0.45">
      <c r="A105" s="10" t="s">
        <v>222</v>
      </c>
      <c r="B105" s="11">
        <v>33924934</v>
      </c>
      <c r="C105" s="11">
        <v>2926972</v>
      </c>
      <c r="D105" s="11">
        <v>12067573</v>
      </c>
      <c r="E105" s="11">
        <v>18211408</v>
      </c>
      <c r="F105" s="11">
        <v>0</v>
      </c>
      <c r="G105" s="11">
        <v>718981</v>
      </c>
    </row>
    <row r="106" spans="1:7" ht="12.5" customHeight="1" x14ac:dyDescent="0.45">
      <c r="A106" s="10" t="s">
        <v>227</v>
      </c>
      <c r="B106" s="11">
        <v>641510</v>
      </c>
      <c r="C106" s="11">
        <v>779000</v>
      </c>
      <c r="D106" s="11">
        <v>0</v>
      </c>
      <c r="E106" s="11">
        <v>0</v>
      </c>
      <c r="F106" s="11">
        <v>-137490</v>
      </c>
      <c r="G106" s="11">
        <v>0</v>
      </c>
    </row>
    <row r="107" spans="1:7" ht="12.5" customHeight="1" x14ac:dyDescent="0.45">
      <c r="A107" s="10" t="s">
        <v>232</v>
      </c>
      <c r="B107" s="11">
        <v>-137490</v>
      </c>
      <c r="C107" s="11">
        <v>0</v>
      </c>
      <c r="D107" s="11">
        <v>0</v>
      </c>
      <c r="E107" s="11">
        <v>0</v>
      </c>
      <c r="F107" s="11">
        <v>-137490</v>
      </c>
      <c r="G107" s="11">
        <v>0</v>
      </c>
    </row>
    <row r="108" spans="1:7" ht="12.5" customHeight="1" x14ac:dyDescent="0.45">
      <c r="A108" s="10" t="s">
        <v>235</v>
      </c>
      <c r="B108" s="11">
        <v>779000</v>
      </c>
      <c r="C108" s="11">
        <v>779000</v>
      </c>
      <c r="D108" s="11">
        <v>0</v>
      </c>
      <c r="E108" s="11">
        <v>0</v>
      </c>
      <c r="F108" s="11">
        <v>0</v>
      </c>
      <c r="G108" s="11">
        <v>0</v>
      </c>
    </row>
    <row r="109" spans="1:7" ht="12.5" customHeight="1" x14ac:dyDescent="0.45">
      <c r="A109" s="10" t="s">
        <v>335</v>
      </c>
      <c r="B109" s="11">
        <v>394159862</v>
      </c>
      <c r="C109" s="11">
        <v>143564052</v>
      </c>
      <c r="D109" s="11">
        <v>82098798</v>
      </c>
      <c r="E109" s="11">
        <v>99807043</v>
      </c>
      <c r="F109" s="11">
        <v>44910261</v>
      </c>
      <c r="G109" s="11">
        <v>23779708</v>
      </c>
    </row>
    <row r="110" spans="1:7" ht="12.5" customHeight="1" x14ac:dyDescent="0.45">
      <c r="A110" s="10" t="s">
        <v>254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</row>
    <row r="111" spans="1:7" ht="12.5" customHeight="1" x14ac:dyDescent="0.45">
      <c r="A111" s="10" t="s">
        <v>255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</row>
    <row r="112" spans="1:7" ht="12.5" customHeight="1" x14ac:dyDescent="0.45">
      <c r="A112" s="10" t="s">
        <v>336</v>
      </c>
      <c r="B112" s="11">
        <v>394159862</v>
      </c>
      <c r="C112" s="11">
        <v>143564052</v>
      </c>
      <c r="D112" s="11">
        <v>82098798</v>
      </c>
      <c r="E112" s="11">
        <v>99807043</v>
      </c>
      <c r="F112" s="11">
        <v>44910261</v>
      </c>
      <c r="G112" s="11">
        <v>23779708</v>
      </c>
    </row>
    <row r="113" spans="1:7" ht="12.5" customHeight="1" x14ac:dyDescent="0.45">
      <c r="A113" s="10" t="s">
        <v>337</v>
      </c>
      <c r="B113" s="11">
        <v>394159862</v>
      </c>
      <c r="C113" s="11">
        <v>143564052</v>
      </c>
      <c r="D113" s="11">
        <v>82098798</v>
      </c>
      <c r="E113" s="11">
        <v>99807043</v>
      </c>
      <c r="F113" s="11">
        <v>44910261</v>
      </c>
      <c r="G113" s="11">
        <v>23779708</v>
      </c>
    </row>
    <row r="114" spans="1:7" ht="12.5" customHeight="1" x14ac:dyDescent="0.45">
      <c r="A114" s="10" t="s">
        <v>258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</row>
    <row r="115" spans="1:7" ht="12.5" customHeight="1" x14ac:dyDescent="0.45">
      <c r="A115" s="10" t="s">
        <v>338</v>
      </c>
      <c r="B115" s="11">
        <v>394159862</v>
      </c>
      <c r="C115" s="11">
        <v>143564052</v>
      </c>
      <c r="D115" s="11">
        <v>82098798</v>
      </c>
      <c r="E115" s="11">
        <v>99807043</v>
      </c>
      <c r="F115" s="11">
        <v>44910261</v>
      </c>
      <c r="G115" s="11">
        <v>23779708</v>
      </c>
    </row>
    <row r="116" spans="1:7" ht="12.5" customHeight="1" x14ac:dyDescent="0.45">
      <c r="A116" s="10" t="s">
        <v>260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</row>
    <row r="117" spans="1:7" ht="12.5" customHeight="1" x14ac:dyDescent="0.45">
      <c r="A117" s="10" t="s">
        <v>339</v>
      </c>
      <c r="B117" s="11">
        <v>394159862</v>
      </c>
      <c r="C117" s="11">
        <v>143564052</v>
      </c>
      <c r="D117" s="11">
        <v>82098798</v>
      </c>
      <c r="E117" s="11">
        <v>99807043</v>
      </c>
      <c r="F117" s="11">
        <v>44910261</v>
      </c>
      <c r="G117" s="11">
        <v>23779708</v>
      </c>
    </row>
    <row r="118" spans="1:7" ht="12.5" customHeight="1" x14ac:dyDescent="0.45">
      <c r="A118" s="10" t="s">
        <v>262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</row>
    <row r="119" spans="1:7" ht="12.5" customHeight="1" x14ac:dyDescent="0.45">
      <c r="A119" s="10" t="s">
        <v>263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 spans="1:7" ht="12.5" customHeight="1" x14ac:dyDescent="0.45">
      <c r="A120" s="10" t="s">
        <v>264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</row>
    <row r="121" spans="1:7" ht="12.5" customHeight="1" x14ac:dyDescent="0.45">
      <c r="A121" s="10" t="s">
        <v>265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</row>
    <row r="122" spans="1:7" ht="12.5" customHeight="1" x14ac:dyDescent="0.45">
      <c r="A122" s="10" t="s">
        <v>266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F115-A5C6-42E1-814A-51C6C4525B3D}">
  <dimension ref="A1:G122"/>
  <sheetViews>
    <sheetView workbookViewId="0">
      <selection sqref="A1:A2"/>
    </sheetView>
  </sheetViews>
  <sheetFormatPr defaultColWidth="8.4140625" defaultRowHeight="12.5" customHeight="1" x14ac:dyDescent="0.45"/>
  <cols>
    <col min="1" max="7" width="19.6640625" style="12" customWidth="1"/>
    <col min="8" max="16384" width="8.4140625" style="12"/>
  </cols>
  <sheetData>
    <row r="1" spans="1:7" ht="12.5" customHeight="1" x14ac:dyDescent="0.45">
      <c r="A1" s="76" t="s">
        <v>0</v>
      </c>
      <c r="B1" s="76" t="s">
        <v>250</v>
      </c>
      <c r="C1" s="9" t="s">
        <v>277</v>
      </c>
      <c r="D1" s="9" t="s">
        <v>278</v>
      </c>
      <c r="E1" s="9" t="s">
        <v>279</v>
      </c>
      <c r="F1" s="9" t="s">
        <v>280</v>
      </c>
      <c r="G1" s="9" t="s">
        <v>281</v>
      </c>
    </row>
    <row r="2" spans="1:7" ht="12.5" customHeight="1" x14ac:dyDescent="0.45">
      <c r="A2" s="76" t="s">
        <v>0</v>
      </c>
      <c r="B2" s="76" t="s">
        <v>250</v>
      </c>
      <c r="C2" s="9" t="s">
        <v>282</v>
      </c>
      <c r="D2" s="9" t="s">
        <v>283</v>
      </c>
      <c r="E2" s="9" t="s">
        <v>284</v>
      </c>
      <c r="F2" s="9" t="s">
        <v>285</v>
      </c>
      <c r="G2" s="9" t="s">
        <v>286</v>
      </c>
    </row>
    <row r="3" spans="1:7" ht="12.5" customHeight="1" x14ac:dyDescent="0.45">
      <c r="A3" s="10" t="s">
        <v>251</v>
      </c>
      <c r="B3" s="11">
        <v>-226122330</v>
      </c>
      <c r="C3" s="11">
        <v>-117000298</v>
      </c>
      <c r="D3" s="11">
        <v>-9698128</v>
      </c>
      <c r="E3" s="11">
        <v>-130806496</v>
      </c>
      <c r="F3" s="11">
        <v>-15702754</v>
      </c>
      <c r="G3" s="11">
        <v>47085346</v>
      </c>
    </row>
    <row r="4" spans="1:7" ht="12.5" customHeight="1" x14ac:dyDescent="0.45">
      <c r="A4" s="10" t="s">
        <v>1</v>
      </c>
      <c r="B4" s="11">
        <v>4590253501</v>
      </c>
      <c r="C4" s="11">
        <v>2136363</v>
      </c>
      <c r="D4" s="11">
        <v>2604165688</v>
      </c>
      <c r="E4" s="11">
        <v>1488390087</v>
      </c>
      <c r="F4" s="11">
        <v>328951515</v>
      </c>
      <c r="G4" s="11">
        <v>166609848</v>
      </c>
    </row>
    <row r="5" spans="1:7" ht="12.5" customHeight="1" x14ac:dyDescent="0.45">
      <c r="A5" s="10" t="s">
        <v>2</v>
      </c>
      <c r="B5" s="11">
        <v>2109749538</v>
      </c>
      <c r="C5" s="11">
        <v>0</v>
      </c>
      <c r="D5" s="11">
        <v>1364282165</v>
      </c>
      <c r="E5" s="11">
        <v>736712342</v>
      </c>
      <c r="F5" s="11">
        <v>541667</v>
      </c>
      <c r="G5" s="11">
        <v>8213364</v>
      </c>
    </row>
    <row r="6" spans="1:7" ht="12.5" customHeight="1" x14ac:dyDescent="0.45">
      <c r="A6" s="10" t="s">
        <v>3</v>
      </c>
      <c r="B6" s="11">
        <v>2708926</v>
      </c>
      <c r="C6" s="11">
        <v>0</v>
      </c>
      <c r="D6" s="11">
        <v>2511454</v>
      </c>
      <c r="E6" s="11">
        <v>197472</v>
      </c>
      <c r="F6" s="11">
        <v>0</v>
      </c>
      <c r="G6" s="11">
        <v>0</v>
      </c>
    </row>
    <row r="7" spans="1:7" ht="12.5" customHeight="1" x14ac:dyDescent="0.45">
      <c r="A7" s="10" t="s">
        <v>6</v>
      </c>
      <c r="B7" s="11">
        <v>1980654809</v>
      </c>
      <c r="C7" s="11">
        <v>0</v>
      </c>
      <c r="D7" s="11">
        <v>1284558888</v>
      </c>
      <c r="E7" s="11">
        <v>687340890</v>
      </c>
      <c r="F7" s="11">
        <v>541667</v>
      </c>
      <c r="G7" s="11">
        <v>8213364</v>
      </c>
    </row>
    <row r="8" spans="1:7" ht="12.5" customHeight="1" x14ac:dyDescent="0.45">
      <c r="A8" s="10" t="s">
        <v>7</v>
      </c>
      <c r="B8" s="11">
        <v>52234291</v>
      </c>
      <c r="C8" s="11">
        <v>0</v>
      </c>
      <c r="D8" s="11">
        <v>31379088</v>
      </c>
      <c r="E8" s="11">
        <v>20855203</v>
      </c>
      <c r="F8" s="11">
        <v>0</v>
      </c>
      <c r="G8" s="11">
        <v>0</v>
      </c>
    </row>
    <row r="9" spans="1:7" ht="12.5" customHeight="1" x14ac:dyDescent="0.45">
      <c r="A9" s="10" t="s">
        <v>9</v>
      </c>
      <c r="B9" s="11">
        <v>74151512</v>
      </c>
      <c r="C9" s="11">
        <v>0</v>
      </c>
      <c r="D9" s="11">
        <v>45832735</v>
      </c>
      <c r="E9" s="11">
        <v>28318777</v>
      </c>
      <c r="F9" s="11">
        <v>0</v>
      </c>
      <c r="G9" s="11">
        <v>0</v>
      </c>
    </row>
    <row r="10" spans="1:7" ht="12.5" customHeight="1" x14ac:dyDescent="0.45">
      <c r="A10" s="10" t="s">
        <v>11</v>
      </c>
      <c r="B10" s="11">
        <v>2480503963</v>
      </c>
      <c r="C10" s="11">
        <v>2136363</v>
      </c>
      <c r="D10" s="11">
        <v>1239883523</v>
      </c>
      <c r="E10" s="11">
        <v>751677745</v>
      </c>
      <c r="F10" s="11">
        <v>328409848</v>
      </c>
      <c r="G10" s="11">
        <v>158396484</v>
      </c>
    </row>
    <row r="11" spans="1:7" ht="12.5" customHeight="1" x14ac:dyDescent="0.45">
      <c r="A11" s="10" t="s">
        <v>12</v>
      </c>
      <c r="B11" s="11">
        <v>974306244</v>
      </c>
      <c r="C11" s="11">
        <v>2136363</v>
      </c>
      <c r="D11" s="11">
        <v>592543207</v>
      </c>
      <c r="E11" s="11">
        <v>374386420</v>
      </c>
      <c r="F11" s="11">
        <v>-1008911</v>
      </c>
      <c r="G11" s="11">
        <v>6249165</v>
      </c>
    </row>
    <row r="12" spans="1:7" ht="12.5" customHeight="1" x14ac:dyDescent="0.45">
      <c r="A12" s="10" t="s">
        <v>13</v>
      </c>
      <c r="B12" s="11">
        <v>22310909</v>
      </c>
      <c r="C12" s="11">
        <v>0</v>
      </c>
      <c r="D12" s="11">
        <v>22310909</v>
      </c>
      <c r="E12" s="11">
        <v>0</v>
      </c>
      <c r="F12" s="11">
        <v>0</v>
      </c>
      <c r="G12" s="11">
        <v>0</v>
      </c>
    </row>
    <row r="13" spans="1:7" ht="12.5" customHeight="1" x14ac:dyDescent="0.45">
      <c r="A13" s="10" t="s">
        <v>14</v>
      </c>
      <c r="B13" s="11">
        <v>648574564</v>
      </c>
      <c r="C13" s="11">
        <v>0</v>
      </c>
      <c r="D13" s="11">
        <v>359187541</v>
      </c>
      <c r="E13" s="11">
        <v>198776748</v>
      </c>
      <c r="F13" s="11">
        <v>68291954</v>
      </c>
      <c r="G13" s="11">
        <v>22318321</v>
      </c>
    </row>
    <row r="14" spans="1:7" ht="12.5" customHeight="1" x14ac:dyDescent="0.45">
      <c r="A14" s="10" t="s">
        <v>15</v>
      </c>
      <c r="B14" s="11">
        <v>11444050</v>
      </c>
      <c r="C14" s="11">
        <v>0</v>
      </c>
      <c r="D14" s="11">
        <v>6974379</v>
      </c>
      <c r="E14" s="11">
        <v>4466671</v>
      </c>
      <c r="F14" s="11">
        <v>3000</v>
      </c>
      <c r="G14" s="11">
        <v>0</v>
      </c>
    </row>
    <row r="15" spans="1:7" ht="12.5" customHeight="1" x14ac:dyDescent="0.45">
      <c r="A15" s="10" t="s">
        <v>16</v>
      </c>
      <c r="B15" s="11">
        <v>393063779</v>
      </c>
      <c r="C15" s="11">
        <v>0</v>
      </c>
      <c r="D15" s="11">
        <v>156498192</v>
      </c>
      <c r="E15" s="11">
        <v>106736589</v>
      </c>
      <c r="F15" s="11">
        <v>0</v>
      </c>
      <c r="G15" s="11">
        <v>129828998</v>
      </c>
    </row>
    <row r="16" spans="1:7" ht="12.5" customHeight="1" x14ac:dyDescent="0.45">
      <c r="A16" s="10" t="s">
        <v>20</v>
      </c>
      <c r="B16" s="11">
        <v>261123805</v>
      </c>
      <c r="C16" s="11">
        <v>0</v>
      </c>
      <c r="D16" s="11">
        <v>0</v>
      </c>
      <c r="E16" s="11">
        <v>0</v>
      </c>
      <c r="F16" s="11">
        <v>261123805</v>
      </c>
      <c r="G16" s="11">
        <v>0</v>
      </c>
    </row>
    <row r="17" spans="1:7" ht="12.5" customHeight="1" x14ac:dyDescent="0.45">
      <c r="A17" s="10" t="s">
        <v>21</v>
      </c>
      <c r="B17" s="11">
        <v>169680612</v>
      </c>
      <c r="C17" s="11">
        <v>0</v>
      </c>
      <c r="D17" s="11">
        <v>102369295</v>
      </c>
      <c r="E17" s="11">
        <v>67311317</v>
      </c>
      <c r="F17" s="11">
        <v>0</v>
      </c>
      <c r="G17" s="11">
        <v>0</v>
      </c>
    </row>
    <row r="18" spans="1:7" ht="12.5" customHeight="1" x14ac:dyDescent="0.45">
      <c r="A18" s="10" t="s">
        <v>23</v>
      </c>
      <c r="B18" s="11">
        <v>2390646494</v>
      </c>
      <c r="C18" s="11">
        <v>0</v>
      </c>
      <c r="D18" s="11">
        <v>1470124390</v>
      </c>
      <c r="E18" s="11">
        <v>909059558</v>
      </c>
      <c r="F18" s="11">
        <v>0</v>
      </c>
      <c r="G18" s="11">
        <v>11462546</v>
      </c>
    </row>
    <row r="19" spans="1:7" ht="12.5" customHeight="1" x14ac:dyDescent="0.45">
      <c r="A19" s="10" t="s">
        <v>24</v>
      </c>
      <c r="B19" s="11">
        <v>2390646494</v>
      </c>
      <c r="C19" s="11">
        <v>0</v>
      </c>
      <c r="D19" s="11">
        <v>1470124390</v>
      </c>
      <c r="E19" s="11">
        <v>909059558</v>
      </c>
      <c r="F19" s="11">
        <v>0</v>
      </c>
      <c r="G19" s="11">
        <v>11462546</v>
      </c>
    </row>
    <row r="20" spans="1:7" ht="12.5" customHeight="1" x14ac:dyDescent="0.45">
      <c r="A20" s="10" t="s">
        <v>25</v>
      </c>
      <c r="B20" s="11">
        <v>2199607007</v>
      </c>
      <c r="C20" s="11">
        <v>2136363</v>
      </c>
      <c r="D20" s="11">
        <v>1134041298</v>
      </c>
      <c r="E20" s="11">
        <v>579330529</v>
      </c>
      <c r="F20" s="11">
        <v>328951515</v>
      </c>
      <c r="G20" s="11">
        <v>155147302</v>
      </c>
    </row>
    <row r="21" spans="1:7" ht="12.5" customHeight="1" x14ac:dyDescent="0.45">
      <c r="A21" s="10" t="s">
        <v>26</v>
      </c>
      <c r="B21" s="11">
        <v>2425729337</v>
      </c>
      <c r="C21" s="11">
        <v>119136661</v>
      </c>
      <c r="D21" s="11">
        <v>1143739426</v>
      </c>
      <c r="E21" s="11">
        <v>710137025</v>
      </c>
      <c r="F21" s="11">
        <v>344654269</v>
      </c>
      <c r="G21" s="11">
        <v>108061956</v>
      </c>
    </row>
    <row r="22" spans="1:7" ht="12.5" customHeight="1" x14ac:dyDescent="0.45">
      <c r="A22" s="10" t="s">
        <v>27</v>
      </c>
      <c r="B22" s="11">
        <v>11185420</v>
      </c>
      <c r="C22" s="11">
        <v>11185420</v>
      </c>
      <c r="D22" s="11">
        <v>0</v>
      </c>
      <c r="E22" s="11">
        <v>0</v>
      </c>
      <c r="F22" s="11">
        <v>0</v>
      </c>
      <c r="G22" s="11">
        <v>0</v>
      </c>
    </row>
    <row r="23" spans="1:7" ht="12.5" customHeight="1" x14ac:dyDescent="0.45">
      <c r="A23" s="10" t="s">
        <v>28</v>
      </c>
      <c r="B23" s="11">
        <v>970648150</v>
      </c>
      <c r="C23" s="11">
        <v>30947320</v>
      </c>
      <c r="D23" s="11">
        <v>439106320</v>
      </c>
      <c r="E23" s="11">
        <v>294575370</v>
      </c>
      <c r="F23" s="11">
        <v>151046150</v>
      </c>
      <c r="G23" s="11">
        <v>54972990</v>
      </c>
    </row>
    <row r="24" spans="1:7" ht="12.5" customHeight="1" x14ac:dyDescent="0.45">
      <c r="A24" s="10" t="s">
        <v>29</v>
      </c>
      <c r="B24" s="11">
        <v>37918710</v>
      </c>
      <c r="C24" s="11">
        <v>21593600</v>
      </c>
      <c r="D24" s="11">
        <v>2325050</v>
      </c>
      <c r="E24" s="11">
        <v>8270740</v>
      </c>
      <c r="F24" s="11">
        <v>5729320</v>
      </c>
      <c r="G24" s="11">
        <v>0</v>
      </c>
    </row>
    <row r="25" spans="1:7" ht="12.5" customHeight="1" x14ac:dyDescent="0.45">
      <c r="A25" s="10" t="s">
        <v>30</v>
      </c>
      <c r="B25" s="11">
        <v>6854040</v>
      </c>
      <c r="C25" s="11">
        <v>3938410</v>
      </c>
      <c r="D25" s="11">
        <v>422180</v>
      </c>
      <c r="E25" s="11">
        <v>1464480</v>
      </c>
      <c r="F25" s="11">
        <v>1028970</v>
      </c>
      <c r="G25" s="11">
        <v>0</v>
      </c>
    </row>
    <row r="26" spans="1:7" ht="12.5" customHeight="1" x14ac:dyDescent="0.45">
      <c r="A26" s="10" t="s">
        <v>31</v>
      </c>
      <c r="B26" s="11">
        <v>700000</v>
      </c>
      <c r="C26" s="11">
        <v>700000</v>
      </c>
      <c r="D26" s="11">
        <v>0</v>
      </c>
      <c r="E26" s="11">
        <v>0</v>
      </c>
      <c r="F26" s="11">
        <v>0</v>
      </c>
      <c r="G26" s="11">
        <v>0</v>
      </c>
    </row>
    <row r="27" spans="1:7" ht="12.5" customHeight="1" x14ac:dyDescent="0.45">
      <c r="A27" s="10" t="s">
        <v>32</v>
      </c>
      <c r="B27" s="11">
        <v>1244750</v>
      </c>
      <c r="C27" s="11">
        <v>0</v>
      </c>
      <c r="D27" s="11">
        <v>0</v>
      </c>
      <c r="E27" s="11">
        <v>1244750</v>
      </c>
      <c r="F27" s="11">
        <v>0</v>
      </c>
      <c r="G27" s="11">
        <v>0</v>
      </c>
    </row>
    <row r="28" spans="1:7" ht="12.5" customHeight="1" x14ac:dyDescent="0.45">
      <c r="A28" s="10" t="s">
        <v>33</v>
      </c>
      <c r="B28" s="11">
        <v>935110</v>
      </c>
      <c r="C28" s="11">
        <v>0</v>
      </c>
      <c r="D28" s="11">
        <v>75730</v>
      </c>
      <c r="E28" s="11">
        <v>702220</v>
      </c>
      <c r="F28" s="11">
        <v>157160</v>
      </c>
      <c r="G28" s="11">
        <v>0</v>
      </c>
    </row>
    <row r="29" spans="1:7" ht="12.5" customHeight="1" x14ac:dyDescent="0.45">
      <c r="A29" s="10" t="s">
        <v>34</v>
      </c>
      <c r="B29" s="11">
        <v>848070</v>
      </c>
      <c r="C29" s="11">
        <v>848070</v>
      </c>
      <c r="D29" s="11">
        <v>0</v>
      </c>
      <c r="E29" s="11">
        <v>0</v>
      </c>
      <c r="F29" s="11">
        <v>0</v>
      </c>
      <c r="G29" s="11">
        <v>0</v>
      </c>
    </row>
    <row r="30" spans="1:7" ht="12.5" customHeight="1" x14ac:dyDescent="0.45">
      <c r="A30" s="10" t="s">
        <v>35</v>
      </c>
      <c r="B30" s="11">
        <v>17733150</v>
      </c>
      <c r="C30" s="11">
        <v>0</v>
      </c>
      <c r="D30" s="11">
        <v>15650850</v>
      </c>
      <c r="E30" s="11">
        <v>2082300</v>
      </c>
      <c r="F30" s="11">
        <v>0</v>
      </c>
      <c r="G30" s="11">
        <v>0</v>
      </c>
    </row>
    <row r="31" spans="1:7" ht="12.5" customHeight="1" x14ac:dyDescent="0.45">
      <c r="A31" s="10" t="s">
        <v>36</v>
      </c>
      <c r="B31" s="11">
        <v>3008420</v>
      </c>
      <c r="C31" s="11">
        <v>0</v>
      </c>
      <c r="D31" s="11">
        <v>2655160</v>
      </c>
      <c r="E31" s="11">
        <v>353260</v>
      </c>
      <c r="F31" s="11">
        <v>0</v>
      </c>
      <c r="G31" s="11">
        <v>0</v>
      </c>
    </row>
    <row r="32" spans="1:7" ht="12.5" customHeight="1" x14ac:dyDescent="0.45">
      <c r="A32" s="10" t="s">
        <v>41</v>
      </c>
      <c r="B32" s="11">
        <v>1785000</v>
      </c>
      <c r="C32" s="11">
        <v>1005000</v>
      </c>
      <c r="D32" s="11">
        <v>155000</v>
      </c>
      <c r="E32" s="11">
        <v>315000</v>
      </c>
      <c r="F32" s="11">
        <v>310000</v>
      </c>
      <c r="G32" s="11">
        <v>0</v>
      </c>
    </row>
    <row r="33" spans="1:7" ht="12.5" customHeight="1" x14ac:dyDescent="0.45">
      <c r="A33" s="10" t="s">
        <v>43</v>
      </c>
      <c r="B33" s="11">
        <v>1320000</v>
      </c>
      <c r="C33" s="11">
        <v>0</v>
      </c>
      <c r="D33" s="11">
        <v>1165000</v>
      </c>
      <c r="E33" s="11">
        <v>155000</v>
      </c>
      <c r="F33" s="11">
        <v>0</v>
      </c>
      <c r="G33" s="11">
        <v>0</v>
      </c>
    </row>
    <row r="34" spans="1:7" ht="12.5" customHeight="1" x14ac:dyDescent="0.45">
      <c r="A34" s="10" t="s">
        <v>46</v>
      </c>
      <c r="B34" s="11">
        <v>698354090</v>
      </c>
      <c r="C34" s="11">
        <v>2316930</v>
      </c>
      <c r="D34" s="11">
        <v>323040050</v>
      </c>
      <c r="E34" s="11">
        <v>218452620</v>
      </c>
      <c r="F34" s="11">
        <v>110972890</v>
      </c>
      <c r="G34" s="11">
        <v>43571600</v>
      </c>
    </row>
    <row r="35" spans="1:7" ht="12.5" customHeight="1" x14ac:dyDescent="0.45">
      <c r="A35" s="10" t="s">
        <v>47</v>
      </c>
      <c r="B35" s="11">
        <v>117820910</v>
      </c>
      <c r="C35" s="11">
        <v>390310</v>
      </c>
      <c r="D35" s="11">
        <v>54541530</v>
      </c>
      <c r="E35" s="11">
        <v>36229130</v>
      </c>
      <c r="F35" s="11">
        <v>19163550</v>
      </c>
      <c r="G35" s="11">
        <v>7496390</v>
      </c>
    </row>
    <row r="36" spans="1:7" ht="12.5" customHeight="1" x14ac:dyDescent="0.45">
      <c r="A36" s="10" t="s">
        <v>48</v>
      </c>
      <c r="B36" s="11">
        <v>25835510</v>
      </c>
      <c r="C36" s="11">
        <v>0</v>
      </c>
      <c r="D36" s="11">
        <v>12435500</v>
      </c>
      <c r="E36" s="11">
        <v>8500010</v>
      </c>
      <c r="F36" s="11">
        <v>4100000</v>
      </c>
      <c r="G36" s="11">
        <v>800000</v>
      </c>
    </row>
    <row r="37" spans="1:7" ht="12.5" customHeight="1" x14ac:dyDescent="0.45">
      <c r="A37" s="10" t="s">
        <v>49</v>
      </c>
      <c r="B37" s="11">
        <v>49590000</v>
      </c>
      <c r="C37" s="11">
        <v>155000</v>
      </c>
      <c r="D37" s="11">
        <v>22855000</v>
      </c>
      <c r="E37" s="11">
        <v>15645000</v>
      </c>
      <c r="F37" s="11">
        <v>7830000</v>
      </c>
      <c r="G37" s="11">
        <v>3105000</v>
      </c>
    </row>
    <row r="38" spans="1:7" ht="12.5" customHeight="1" x14ac:dyDescent="0.45">
      <c r="A38" s="10" t="s">
        <v>50</v>
      </c>
      <c r="B38" s="11">
        <v>20000</v>
      </c>
      <c r="C38" s="11">
        <v>0</v>
      </c>
      <c r="D38" s="11">
        <v>20000</v>
      </c>
      <c r="E38" s="11">
        <v>0</v>
      </c>
      <c r="F38" s="11">
        <v>0</v>
      </c>
      <c r="G38" s="11">
        <v>0</v>
      </c>
    </row>
    <row r="39" spans="1:7" ht="12.5" customHeight="1" x14ac:dyDescent="0.45">
      <c r="A39" s="10" t="s">
        <v>52</v>
      </c>
      <c r="B39" s="11">
        <v>3805370</v>
      </c>
      <c r="C39" s="11">
        <v>0</v>
      </c>
      <c r="D39" s="11">
        <v>2392330</v>
      </c>
      <c r="E39" s="11">
        <v>256920</v>
      </c>
      <c r="F39" s="11">
        <v>1156120</v>
      </c>
      <c r="G39" s="11">
        <v>0</v>
      </c>
    </row>
    <row r="40" spans="1:7" ht="12.5" customHeight="1" x14ac:dyDescent="0.45">
      <c r="A40" s="10" t="s">
        <v>56</v>
      </c>
      <c r="B40" s="11">
        <v>2875020</v>
      </c>
      <c r="C40" s="11">
        <v>0</v>
      </c>
      <c r="D40" s="11">
        <v>1372940</v>
      </c>
      <c r="E40" s="11">
        <v>903940</v>
      </c>
      <c r="F40" s="11">
        <v>598140</v>
      </c>
      <c r="G40" s="11">
        <v>0</v>
      </c>
    </row>
    <row r="41" spans="1:7" ht="12.5" customHeight="1" x14ac:dyDescent="0.45">
      <c r="A41" s="10" t="s">
        <v>61</v>
      </c>
      <c r="B41" s="11">
        <v>353722790</v>
      </c>
      <c r="C41" s="11">
        <v>22157620</v>
      </c>
      <c r="D41" s="11">
        <v>148608690</v>
      </c>
      <c r="E41" s="11">
        <v>119552680</v>
      </c>
      <c r="F41" s="11">
        <v>48064660</v>
      </c>
      <c r="G41" s="11">
        <v>15339140</v>
      </c>
    </row>
    <row r="42" spans="1:7" ht="12.5" customHeight="1" x14ac:dyDescent="0.45">
      <c r="A42" s="10" t="s">
        <v>62</v>
      </c>
      <c r="B42" s="11">
        <v>40772860</v>
      </c>
      <c r="C42" s="11">
        <v>20957620</v>
      </c>
      <c r="D42" s="11">
        <v>2291770</v>
      </c>
      <c r="E42" s="11">
        <v>11247970</v>
      </c>
      <c r="F42" s="11">
        <v>6275500</v>
      </c>
      <c r="G42" s="11">
        <v>0</v>
      </c>
    </row>
    <row r="43" spans="1:7" ht="12.5" customHeight="1" x14ac:dyDescent="0.45">
      <c r="A43" s="10" t="s">
        <v>65</v>
      </c>
      <c r="B43" s="11">
        <v>900000</v>
      </c>
      <c r="C43" s="11">
        <v>0</v>
      </c>
      <c r="D43" s="11">
        <v>900000</v>
      </c>
      <c r="E43" s="11">
        <v>0</v>
      </c>
      <c r="F43" s="11">
        <v>0</v>
      </c>
      <c r="G43" s="11">
        <v>0</v>
      </c>
    </row>
    <row r="44" spans="1:7" ht="12.5" customHeight="1" x14ac:dyDescent="0.45">
      <c r="A44" s="10" t="s">
        <v>66</v>
      </c>
      <c r="B44" s="11">
        <v>312049930</v>
      </c>
      <c r="C44" s="11">
        <v>1200000</v>
      </c>
      <c r="D44" s="11">
        <v>145416920</v>
      </c>
      <c r="E44" s="11">
        <v>108304710</v>
      </c>
      <c r="F44" s="11">
        <v>41789160</v>
      </c>
      <c r="G44" s="11">
        <v>15339140</v>
      </c>
    </row>
    <row r="45" spans="1:7" ht="12.5" customHeight="1" x14ac:dyDescent="0.45">
      <c r="A45" s="10" t="s">
        <v>69</v>
      </c>
      <c r="B45" s="11">
        <v>128313617</v>
      </c>
      <c r="C45" s="11">
        <v>4563050</v>
      </c>
      <c r="D45" s="11">
        <v>61155000</v>
      </c>
      <c r="E45" s="11">
        <v>37418447</v>
      </c>
      <c r="F45" s="11">
        <v>17504717</v>
      </c>
      <c r="G45" s="11">
        <v>7672403</v>
      </c>
    </row>
    <row r="46" spans="1:7" ht="12.5" customHeight="1" x14ac:dyDescent="0.45">
      <c r="A46" s="10" t="s">
        <v>70</v>
      </c>
      <c r="B46" s="11">
        <v>128313617</v>
      </c>
      <c r="C46" s="11">
        <v>4563050</v>
      </c>
      <c r="D46" s="11">
        <v>61155000</v>
      </c>
      <c r="E46" s="11">
        <v>37418447</v>
      </c>
      <c r="F46" s="11">
        <v>17504717</v>
      </c>
      <c r="G46" s="11">
        <v>7672403</v>
      </c>
    </row>
    <row r="47" spans="1:7" ht="12.5" customHeight="1" x14ac:dyDescent="0.45">
      <c r="A47" s="10" t="s">
        <v>71</v>
      </c>
      <c r="B47" s="11">
        <v>21160000</v>
      </c>
      <c r="C47" s="11">
        <v>1500000</v>
      </c>
      <c r="D47" s="11">
        <v>6000000</v>
      </c>
      <c r="E47" s="11">
        <v>5460000</v>
      </c>
      <c r="F47" s="11">
        <v>6200000</v>
      </c>
      <c r="G47" s="11">
        <v>2000000</v>
      </c>
    </row>
    <row r="48" spans="1:7" ht="12.5" customHeight="1" x14ac:dyDescent="0.45">
      <c r="A48" s="10" t="s">
        <v>252</v>
      </c>
      <c r="B48" s="11">
        <v>21160000</v>
      </c>
      <c r="C48" s="11">
        <v>1500000</v>
      </c>
      <c r="D48" s="11">
        <v>6000000</v>
      </c>
      <c r="E48" s="11">
        <v>5460000</v>
      </c>
      <c r="F48" s="11">
        <v>6200000</v>
      </c>
      <c r="G48" s="11">
        <v>2000000</v>
      </c>
    </row>
    <row r="49" spans="1:7" ht="12.5" customHeight="1" x14ac:dyDescent="0.45">
      <c r="A49" s="10" t="s">
        <v>72</v>
      </c>
      <c r="B49" s="11">
        <v>429019319</v>
      </c>
      <c r="C49" s="11">
        <v>7649253</v>
      </c>
      <c r="D49" s="11">
        <v>258010407</v>
      </c>
      <c r="E49" s="11">
        <v>95150360</v>
      </c>
      <c r="F49" s="11">
        <v>48439130</v>
      </c>
      <c r="G49" s="11">
        <v>19770169</v>
      </c>
    </row>
    <row r="50" spans="1:7" ht="12.5" customHeight="1" x14ac:dyDescent="0.45">
      <c r="A50" s="10" t="s">
        <v>74</v>
      </c>
      <c r="B50" s="11">
        <v>10196110</v>
      </c>
      <c r="C50" s="11">
        <v>427828</v>
      </c>
      <c r="D50" s="11">
        <v>4868593</v>
      </c>
      <c r="E50" s="11">
        <v>2931439</v>
      </c>
      <c r="F50" s="11">
        <v>1449858</v>
      </c>
      <c r="G50" s="11">
        <v>518392</v>
      </c>
    </row>
    <row r="51" spans="1:7" ht="12.5" customHeight="1" x14ac:dyDescent="0.45">
      <c r="A51" s="10" t="s">
        <v>75</v>
      </c>
      <c r="B51" s="11">
        <v>60109060</v>
      </c>
      <c r="C51" s="11">
        <v>2137580</v>
      </c>
      <c r="D51" s="11">
        <v>28648320</v>
      </c>
      <c r="E51" s="11">
        <v>17528830</v>
      </c>
      <c r="F51" s="11">
        <v>8200160</v>
      </c>
      <c r="G51" s="11">
        <v>3594170</v>
      </c>
    </row>
    <row r="52" spans="1:7" ht="12.5" customHeight="1" x14ac:dyDescent="0.45">
      <c r="A52" s="10" t="s">
        <v>76</v>
      </c>
      <c r="B52" s="11">
        <v>56241600</v>
      </c>
      <c r="C52" s="11">
        <v>1808270</v>
      </c>
      <c r="D52" s="11">
        <v>26402430</v>
      </c>
      <c r="E52" s="11">
        <v>16954250</v>
      </c>
      <c r="F52" s="11">
        <v>7771270</v>
      </c>
      <c r="G52" s="11">
        <v>3305380</v>
      </c>
    </row>
    <row r="53" spans="1:7" ht="12.5" customHeight="1" x14ac:dyDescent="0.45">
      <c r="A53" s="10" t="s">
        <v>77</v>
      </c>
      <c r="B53" s="11">
        <v>20640512</v>
      </c>
      <c r="C53" s="11">
        <v>866075</v>
      </c>
      <c r="D53" s="11">
        <v>9855746</v>
      </c>
      <c r="E53" s="11">
        <v>5934262</v>
      </c>
      <c r="F53" s="11">
        <v>2935021</v>
      </c>
      <c r="G53" s="11">
        <v>1049408</v>
      </c>
    </row>
    <row r="54" spans="1:7" ht="12.5" customHeight="1" x14ac:dyDescent="0.45">
      <c r="A54" s="10" t="s">
        <v>79</v>
      </c>
      <c r="B54" s="11">
        <v>160478413</v>
      </c>
      <c r="C54" s="11">
        <v>500000</v>
      </c>
      <c r="D54" s="11">
        <v>127629803</v>
      </c>
      <c r="E54" s="11">
        <v>24182610</v>
      </c>
      <c r="F54" s="11">
        <v>8166000</v>
      </c>
      <c r="G54" s="11">
        <v>0</v>
      </c>
    </row>
    <row r="55" spans="1:7" ht="12.5" customHeight="1" x14ac:dyDescent="0.45">
      <c r="A55" s="10" t="s">
        <v>80</v>
      </c>
      <c r="B55" s="11">
        <v>3400000</v>
      </c>
      <c r="C55" s="11">
        <v>200000</v>
      </c>
      <c r="D55" s="11">
        <v>1400000</v>
      </c>
      <c r="E55" s="11">
        <v>800000</v>
      </c>
      <c r="F55" s="11">
        <v>1000000</v>
      </c>
      <c r="G55" s="11">
        <v>0</v>
      </c>
    </row>
    <row r="56" spans="1:7" ht="12.5" customHeight="1" x14ac:dyDescent="0.45">
      <c r="A56" s="10" t="s">
        <v>81</v>
      </c>
      <c r="B56" s="11">
        <v>49500</v>
      </c>
      <c r="C56" s="11">
        <v>49500</v>
      </c>
      <c r="D56" s="11">
        <v>0</v>
      </c>
      <c r="E56" s="11">
        <v>0</v>
      </c>
      <c r="F56" s="11">
        <v>0</v>
      </c>
      <c r="G56" s="11">
        <v>0</v>
      </c>
    </row>
    <row r="57" spans="1:7" ht="12.5" customHeight="1" x14ac:dyDescent="0.45">
      <c r="A57" s="10" t="s">
        <v>82</v>
      </c>
      <c r="B57" s="11">
        <v>1355067</v>
      </c>
      <c r="C57" s="11">
        <v>0</v>
      </c>
      <c r="D57" s="11">
        <v>694330</v>
      </c>
      <c r="E57" s="11">
        <v>423916</v>
      </c>
      <c r="F57" s="11">
        <v>236821</v>
      </c>
      <c r="G57" s="11">
        <v>0</v>
      </c>
    </row>
    <row r="58" spans="1:7" ht="12.5" customHeight="1" x14ac:dyDescent="0.45">
      <c r="A58" s="10" t="s">
        <v>83</v>
      </c>
      <c r="B58" s="11">
        <v>4800000</v>
      </c>
      <c r="C58" s="11">
        <v>0</v>
      </c>
      <c r="D58" s="11">
        <v>4800000</v>
      </c>
      <c r="E58" s="11">
        <v>0</v>
      </c>
      <c r="F58" s="11">
        <v>0</v>
      </c>
      <c r="G58" s="11">
        <v>0</v>
      </c>
    </row>
    <row r="59" spans="1:7" ht="12.5" customHeight="1" x14ac:dyDescent="0.45">
      <c r="A59" s="10" t="s">
        <v>103</v>
      </c>
      <c r="B59" s="11">
        <v>33950000</v>
      </c>
      <c r="C59" s="11">
        <v>800000</v>
      </c>
      <c r="D59" s="11">
        <v>15300000</v>
      </c>
      <c r="E59" s="11">
        <v>10600000</v>
      </c>
      <c r="F59" s="11">
        <v>5300000</v>
      </c>
      <c r="G59" s="11">
        <v>1950000</v>
      </c>
    </row>
    <row r="60" spans="1:7" ht="12.5" customHeight="1" x14ac:dyDescent="0.45">
      <c r="A60" s="10" t="s">
        <v>107</v>
      </c>
      <c r="B60" s="11">
        <v>77799057</v>
      </c>
      <c r="C60" s="11">
        <v>860000</v>
      </c>
      <c r="D60" s="11">
        <v>38411185</v>
      </c>
      <c r="E60" s="11">
        <v>15795053</v>
      </c>
      <c r="F60" s="11">
        <v>13380000</v>
      </c>
      <c r="G60" s="11">
        <v>9352819</v>
      </c>
    </row>
    <row r="61" spans="1:7" ht="12.5" customHeight="1" x14ac:dyDescent="0.45">
      <c r="A61" s="10" t="s">
        <v>113</v>
      </c>
      <c r="B61" s="11">
        <v>2439300</v>
      </c>
      <c r="C61" s="11">
        <v>0</v>
      </c>
      <c r="D61" s="11">
        <v>842800</v>
      </c>
      <c r="E61" s="11">
        <v>756900</v>
      </c>
      <c r="F61" s="11">
        <v>318000</v>
      </c>
      <c r="G61" s="11">
        <v>521600</v>
      </c>
    </row>
    <row r="62" spans="1:7" ht="12.5" customHeight="1" x14ac:dyDescent="0.45">
      <c r="A62" s="10" t="s">
        <v>114</v>
      </c>
      <c r="B62" s="11">
        <v>521600</v>
      </c>
      <c r="C62" s="11">
        <v>0</v>
      </c>
      <c r="D62" s="11">
        <v>0</v>
      </c>
      <c r="E62" s="11">
        <v>0</v>
      </c>
      <c r="F62" s="11">
        <v>0</v>
      </c>
      <c r="G62" s="11">
        <v>521600</v>
      </c>
    </row>
    <row r="63" spans="1:7" ht="12.5" customHeight="1" x14ac:dyDescent="0.45">
      <c r="A63" s="10" t="s">
        <v>117</v>
      </c>
      <c r="B63" s="11">
        <v>1917700</v>
      </c>
      <c r="C63" s="11">
        <v>0</v>
      </c>
      <c r="D63" s="11">
        <v>842800</v>
      </c>
      <c r="E63" s="11">
        <v>756900</v>
      </c>
      <c r="F63" s="11">
        <v>318000</v>
      </c>
      <c r="G63" s="11">
        <v>0</v>
      </c>
    </row>
    <row r="64" spans="1:7" ht="12.5" customHeight="1" x14ac:dyDescent="0.45">
      <c r="A64" s="10" t="s">
        <v>124</v>
      </c>
      <c r="B64" s="11">
        <v>3694772</v>
      </c>
      <c r="C64" s="11">
        <v>193100</v>
      </c>
      <c r="D64" s="11">
        <v>1470359</v>
      </c>
      <c r="E64" s="11">
        <v>964614</v>
      </c>
      <c r="F64" s="11">
        <v>815179</v>
      </c>
      <c r="G64" s="11">
        <v>251520</v>
      </c>
    </row>
    <row r="65" spans="1:7" ht="12.5" customHeight="1" x14ac:dyDescent="0.45">
      <c r="A65" s="10" t="s">
        <v>125</v>
      </c>
      <c r="B65" s="11">
        <v>2687982</v>
      </c>
      <c r="C65" s="11">
        <v>193100</v>
      </c>
      <c r="D65" s="11">
        <v>1074179</v>
      </c>
      <c r="E65" s="11">
        <v>718494</v>
      </c>
      <c r="F65" s="11">
        <v>702209</v>
      </c>
      <c r="G65" s="11">
        <v>0</v>
      </c>
    </row>
    <row r="66" spans="1:7" ht="12.5" customHeight="1" x14ac:dyDescent="0.45">
      <c r="A66" s="10" t="s">
        <v>128</v>
      </c>
      <c r="B66" s="11">
        <v>1006790</v>
      </c>
      <c r="C66" s="11">
        <v>0</v>
      </c>
      <c r="D66" s="11">
        <v>396180</v>
      </c>
      <c r="E66" s="11">
        <v>246120</v>
      </c>
      <c r="F66" s="11">
        <v>112970</v>
      </c>
      <c r="G66" s="11">
        <v>251520</v>
      </c>
    </row>
    <row r="67" spans="1:7" ht="12.5" customHeight="1" x14ac:dyDescent="0.45">
      <c r="A67" s="10" t="s">
        <v>131</v>
      </c>
      <c r="B67" s="11">
        <v>16174021</v>
      </c>
      <c r="C67" s="11">
        <v>0</v>
      </c>
      <c r="D67" s="11">
        <v>10985482</v>
      </c>
      <c r="E67" s="11">
        <v>5188539</v>
      </c>
      <c r="F67" s="11">
        <v>0</v>
      </c>
      <c r="G67" s="11">
        <v>0</v>
      </c>
    </row>
    <row r="68" spans="1:7" ht="12.5" customHeight="1" x14ac:dyDescent="0.45">
      <c r="A68" s="10" t="s">
        <v>132</v>
      </c>
      <c r="B68" s="11">
        <v>16174021</v>
      </c>
      <c r="C68" s="11">
        <v>0</v>
      </c>
      <c r="D68" s="11">
        <v>10985482</v>
      </c>
      <c r="E68" s="11">
        <v>5188539</v>
      </c>
      <c r="F68" s="11">
        <v>0</v>
      </c>
      <c r="G68" s="11">
        <v>0</v>
      </c>
    </row>
    <row r="69" spans="1:7" ht="12.5" customHeight="1" x14ac:dyDescent="0.45">
      <c r="A69" s="10" t="s">
        <v>139</v>
      </c>
      <c r="B69" s="11">
        <v>3359666</v>
      </c>
      <c r="C69" s="11">
        <v>3155000</v>
      </c>
      <c r="D69" s="11">
        <v>0</v>
      </c>
      <c r="E69" s="11">
        <v>0</v>
      </c>
      <c r="F69" s="11">
        <v>204666</v>
      </c>
      <c r="G69" s="11">
        <v>0</v>
      </c>
    </row>
    <row r="70" spans="1:7" ht="12.5" customHeight="1" x14ac:dyDescent="0.45">
      <c r="A70" s="10" t="s">
        <v>140</v>
      </c>
      <c r="B70" s="11">
        <v>93253352</v>
      </c>
      <c r="C70" s="11">
        <v>3578500</v>
      </c>
      <c r="D70" s="11">
        <v>34604413</v>
      </c>
      <c r="E70" s="11">
        <v>15126223</v>
      </c>
      <c r="F70" s="11">
        <v>39944216</v>
      </c>
      <c r="G70" s="11">
        <v>0</v>
      </c>
    </row>
    <row r="71" spans="1:7" ht="12.5" customHeight="1" x14ac:dyDescent="0.45">
      <c r="A71" s="10" t="s">
        <v>141</v>
      </c>
      <c r="B71" s="11">
        <v>22899000</v>
      </c>
      <c r="C71" s="11">
        <v>1819000</v>
      </c>
      <c r="D71" s="11">
        <v>2695000</v>
      </c>
      <c r="E71" s="11">
        <v>2156000</v>
      </c>
      <c r="F71" s="11">
        <v>16229000</v>
      </c>
      <c r="G71" s="11">
        <v>0</v>
      </c>
    </row>
    <row r="72" spans="1:7" ht="12.5" customHeight="1" x14ac:dyDescent="0.45">
      <c r="A72" s="10" t="s">
        <v>143</v>
      </c>
      <c r="B72" s="11">
        <v>24255700</v>
      </c>
      <c r="C72" s="11">
        <v>0</v>
      </c>
      <c r="D72" s="11">
        <v>6500000</v>
      </c>
      <c r="E72" s="11">
        <v>0</v>
      </c>
      <c r="F72" s="11">
        <v>17755700</v>
      </c>
      <c r="G72" s="11">
        <v>0</v>
      </c>
    </row>
    <row r="73" spans="1:7" ht="12.5" customHeight="1" x14ac:dyDescent="0.45">
      <c r="A73" s="10" t="s">
        <v>144</v>
      </c>
      <c r="B73" s="11">
        <v>46098652</v>
      </c>
      <c r="C73" s="11">
        <v>1759500</v>
      </c>
      <c r="D73" s="11">
        <v>25409413</v>
      </c>
      <c r="E73" s="11">
        <v>12970223</v>
      </c>
      <c r="F73" s="11">
        <v>5959516</v>
      </c>
      <c r="G73" s="11">
        <v>0</v>
      </c>
    </row>
    <row r="74" spans="1:7" ht="12.5" customHeight="1" x14ac:dyDescent="0.45">
      <c r="A74" s="10" t="s">
        <v>154</v>
      </c>
      <c r="B74" s="11">
        <v>13361235</v>
      </c>
      <c r="C74" s="11">
        <v>1715085</v>
      </c>
      <c r="D74" s="11">
        <v>1030189</v>
      </c>
      <c r="E74" s="11">
        <v>1035106</v>
      </c>
      <c r="F74" s="11">
        <v>6483926</v>
      </c>
      <c r="G74" s="11">
        <v>3096929</v>
      </c>
    </row>
    <row r="75" spans="1:7" ht="12.5" customHeight="1" x14ac:dyDescent="0.45">
      <c r="A75" s="10" t="s">
        <v>155</v>
      </c>
      <c r="B75" s="11">
        <v>3194594</v>
      </c>
      <c r="C75" s="11">
        <v>1096245</v>
      </c>
      <c r="D75" s="11">
        <v>288510</v>
      </c>
      <c r="E75" s="11">
        <v>595150</v>
      </c>
      <c r="F75" s="11">
        <v>1186689</v>
      </c>
      <c r="G75" s="11">
        <v>28000</v>
      </c>
    </row>
    <row r="76" spans="1:7" ht="12.5" customHeight="1" x14ac:dyDescent="0.45">
      <c r="A76" s="10" t="s">
        <v>156</v>
      </c>
      <c r="B76" s="11">
        <v>484000</v>
      </c>
      <c r="C76" s="11">
        <v>484000</v>
      </c>
      <c r="D76" s="11">
        <v>0</v>
      </c>
      <c r="E76" s="11">
        <v>0</v>
      </c>
      <c r="F76" s="11">
        <v>0</v>
      </c>
      <c r="G76" s="11">
        <v>0</v>
      </c>
    </row>
    <row r="77" spans="1:7" ht="12.5" customHeight="1" x14ac:dyDescent="0.45">
      <c r="A77" s="10" t="s">
        <v>157</v>
      </c>
      <c r="B77" s="11">
        <v>3315300</v>
      </c>
      <c r="C77" s="11">
        <v>0</v>
      </c>
      <c r="D77" s="11">
        <v>230000</v>
      </c>
      <c r="E77" s="11">
        <v>0</v>
      </c>
      <c r="F77" s="11">
        <v>281000</v>
      </c>
      <c r="G77" s="11">
        <v>2804300</v>
      </c>
    </row>
    <row r="78" spans="1:7" ht="12.5" customHeight="1" x14ac:dyDescent="0.45">
      <c r="A78" s="10" t="s">
        <v>158</v>
      </c>
      <c r="B78" s="11">
        <v>6367341</v>
      </c>
      <c r="C78" s="11">
        <v>134840</v>
      </c>
      <c r="D78" s="11">
        <v>511679</v>
      </c>
      <c r="E78" s="11">
        <v>439956</v>
      </c>
      <c r="F78" s="11">
        <v>5016237</v>
      </c>
      <c r="G78" s="11">
        <v>264629</v>
      </c>
    </row>
    <row r="79" spans="1:7" ht="12.5" customHeight="1" x14ac:dyDescent="0.45">
      <c r="A79" s="10" t="s">
        <v>162</v>
      </c>
      <c r="B79" s="11">
        <v>28383500</v>
      </c>
      <c r="C79" s="11">
        <v>0</v>
      </c>
      <c r="D79" s="11">
        <v>9108000</v>
      </c>
      <c r="E79" s="11">
        <v>6373000</v>
      </c>
      <c r="F79" s="11">
        <v>12902500</v>
      </c>
      <c r="G79" s="11">
        <v>0</v>
      </c>
    </row>
    <row r="80" spans="1:7" ht="12.5" customHeight="1" x14ac:dyDescent="0.45">
      <c r="A80" s="10" t="s">
        <v>164</v>
      </c>
      <c r="B80" s="11">
        <v>28383500</v>
      </c>
      <c r="C80" s="11">
        <v>0</v>
      </c>
      <c r="D80" s="11">
        <v>9108000</v>
      </c>
      <c r="E80" s="11">
        <v>6373000</v>
      </c>
      <c r="F80" s="11">
        <v>12902500</v>
      </c>
      <c r="G80" s="11">
        <v>0</v>
      </c>
    </row>
    <row r="81" spans="1:7" ht="12.5" customHeight="1" x14ac:dyDescent="0.45">
      <c r="A81" s="10" t="s">
        <v>169</v>
      </c>
      <c r="B81" s="11">
        <v>1445910</v>
      </c>
      <c r="C81" s="11">
        <v>0</v>
      </c>
      <c r="D81" s="11">
        <v>735000</v>
      </c>
      <c r="E81" s="11">
        <v>710910</v>
      </c>
      <c r="F81" s="11">
        <v>0</v>
      </c>
      <c r="G81" s="11">
        <v>0</v>
      </c>
    </row>
    <row r="82" spans="1:7" ht="12.5" customHeight="1" x14ac:dyDescent="0.45">
      <c r="A82" s="10" t="s">
        <v>172</v>
      </c>
      <c r="B82" s="11">
        <v>1445910</v>
      </c>
      <c r="C82" s="11">
        <v>0</v>
      </c>
      <c r="D82" s="11">
        <v>735000</v>
      </c>
      <c r="E82" s="11">
        <v>710910</v>
      </c>
      <c r="F82" s="11">
        <v>0</v>
      </c>
      <c r="G82" s="11">
        <v>0</v>
      </c>
    </row>
    <row r="83" spans="1:7" ht="12.5" customHeight="1" x14ac:dyDescent="0.45">
      <c r="A83" s="10" t="s">
        <v>179</v>
      </c>
      <c r="B83" s="11">
        <v>42611878</v>
      </c>
      <c r="C83" s="11">
        <v>5786845</v>
      </c>
      <c r="D83" s="11">
        <v>16943469</v>
      </c>
      <c r="E83" s="11">
        <v>12097755</v>
      </c>
      <c r="F83" s="11">
        <v>4581979</v>
      </c>
      <c r="G83" s="11">
        <v>3201830</v>
      </c>
    </row>
    <row r="84" spans="1:7" ht="12.5" customHeight="1" x14ac:dyDescent="0.45">
      <c r="A84" s="10" t="s">
        <v>180</v>
      </c>
      <c r="B84" s="11">
        <v>7791795</v>
      </c>
      <c r="C84" s="11">
        <v>0</v>
      </c>
      <c r="D84" s="11">
        <v>4222443</v>
      </c>
      <c r="E84" s="11">
        <v>3123469</v>
      </c>
      <c r="F84" s="11">
        <v>445883</v>
      </c>
      <c r="G84" s="11">
        <v>0</v>
      </c>
    </row>
    <row r="85" spans="1:7" ht="12.5" customHeight="1" x14ac:dyDescent="0.45">
      <c r="A85" s="10" t="s">
        <v>182</v>
      </c>
      <c r="B85" s="11">
        <v>2363603</v>
      </c>
      <c r="C85" s="11">
        <v>1337955</v>
      </c>
      <c r="D85" s="11">
        <v>305730</v>
      </c>
      <c r="E85" s="11">
        <v>380006</v>
      </c>
      <c r="F85" s="11">
        <v>339912</v>
      </c>
      <c r="G85" s="11">
        <v>0</v>
      </c>
    </row>
    <row r="86" spans="1:7" ht="12.5" customHeight="1" x14ac:dyDescent="0.45">
      <c r="A86" s="10" t="s">
        <v>183</v>
      </c>
      <c r="B86" s="11">
        <v>1260211</v>
      </c>
      <c r="C86" s="11">
        <v>0</v>
      </c>
      <c r="D86" s="11">
        <v>612744</v>
      </c>
      <c r="E86" s="11">
        <v>449999</v>
      </c>
      <c r="F86" s="11">
        <v>197468</v>
      </c>
      <c r="G86" s="11">
        <v>0</v>
      </c>
    </row>
    <row r="87" spans="1:7" ht="12.5" customHeight="1" x14ac:dyDescent="0.45">
      <c r="A87" s="10" t="s">
        <v>185</v>
      </c>
      <c r="B87" s="11">
        <v>7169498</v>
      </c>
      <c r="C87" s="11">
        <v>0</v>
      </c>
      <c r="D87" s="11">
        <v>1640494</v>
      </c>
      <c r="E87" s="11">
        <v>2342870</v>
      </c>
      <c r="F87" s="11">
        <v>3186134</v>
      </c>
      <c r="G87" s="11">
        <v>0</v>
      </c>
    </row>
    <row r="88" spans="1:7" ht="12.5" customHeight="1" x14ac:dyDescent="0.45">
      <c r="A88" s="10" t="s">
        <v>186</v>
      </c>
      <c r="B88" s="11">
        <v>1338599</v>
      </c>
      <c r="C88" s="11">
        <v>0</v>
      </c>
      <c r="D88" s="11">
        <v>96458</v>
      </c>
      <c r="E88" s="11">
        <v>913777</v>
      </c>
      <c r="F88" s="11">
        <v>328364</v>
      </c>
      <c r="G88" s="11">
        <v>0</v>
      </c>
    </row>
    <row r="89" spans="1:7" ht="12.5" customHeight="1" x14ac:dyDescent="0.45">
      <c r="A89" s="10" t="s">
        <v>187</v>
      </c>
      <c r="B89" s="11">
        <v>22510163</v>
      </c>
      <c r="C89" s="11">
        <v>4448890</v>
      </c>
      <c r="D89" s="11">
        <v>9971809</v>
      </c>
      <c r="E89" s="11">
        <v>4887634</v>
      </c>
      <c r="F89" s="11">
        <v>0</v>
      </c>
      <c r="G89" s="11">
        <v>3201830</v>
      </c>
    </row>
    <row r="90" spans="1:7" ht="12.5" customHeight="1" x14ac:dyDescent="0.45">
      <c r="A90" s="10" t="s">
        <v>189</v>
      </c>
      <c r="B90" s="11">
        <v>178009</v>
      </c>
      <c r="C90" s="11">
        <v>0</v>
      </c>
      <c r="D90" s="11">
        <v>93791</v>
      </c>
      <c r="E90" s="11">
        <v>0</v>
      </c>
      <c r="F90" s="11">
        <v>84218</v>
      </c>
      <c r="G90" s="11">
        <v>0</v>
      </c>
    </row>
    <row r="91" spans="1:7" ht="12.5" customHeight="1" x14ac:dyDescent="0.45">
      <c r="A91" s="10" t="s">
        <v>191</v>
      </c>
      <c r="B91" s="11">
        <v>11783377</v>
      </c>
      <c r="C91" s="11">
        <v>100568</v>
      </c>
      <c r="D91" s="11">
        <v>5612795</v>
      </c>
      <c r="E91" s="11">
        <v>5382556</v>
      </c>
      <c r="F91" s="11">
        <v>585808</v>
      </c>
      <c r="G91" s="11">
        <v>101650</v>
      </c>
    </row>
    <row r="92" spans="1:7" ht="12.5" customHeight="1" x14ac:dyDescent="0.45">
      <c r="A92" s="10" t="s">
        <v>192</v>
      </c>
      <c r="B92" s="11">
        <v>5927010</v>
      </c>
      <c r="C92" s="11">
        <v>41850</v>
      </c>
      <c r="D92" s="11">
        <v>2311695</v>
      </c>
      <c r="E92" s="11">
        <v>3043280</v>
      </c>
      <c r="F92" s="11">
        <v>428535</v>
      </c>
      <c r="G92" s="11">
        <v>101650</v>
      </c>
    </row>
    <row r="93" spans="1:7" ht="12.5" customHeight="1" x14ac:dyDescent="0.45">
      <c r="A93" s="10" t="s">
        <v>193</v>
      </c>
      <c r="B93" s="11">
        <v>3183249</v>
      </c>
      <c r="C93" s="11">
        <v>0</v>
      </c>
      <c r="D93" s="11">
        <v>2007471</v>
      </c>
      <c r="E93" s="11">
        <v>1175778</v>
      </c>
      <c r="F93" s="11">
        <v>0</v>
      </c>
      <c r="G93" s="11">
        <v>0</v>
      </c>
    </row>
    <row r="94" spans="1:7" ht="12.5" customHeight="1" x14ac:dyDescent="0.45">
      <c r="A94" s="10" t="s">
        <v>194</v>
      </c>
      <c r="B94" s="11">
        <v>2673118</v>
      </c>
      <c r="C94" s="11">
        <v>58718</v>
      </c>
      <c r="D94" s="11">
        <v>1293629</v>
      </c>
      <c r="E94" s="11">
        <v>1163498</v>
      </c>
      <c r="F94" s="11">
        <v>157273</v>
      </c>
      <c r="G94" s="11">
        <v>0</v>
      </c>
    </row>
    <row r="95" spans="1:7" ht="12.5" customHeight="1" x14ac:dyDescent="0.45">
      <c r="A95" s="10" t="s">
        <v>197</v>
      </c>
      <c r="B95" s="11">
        <v>22043654</v>
      </c>
      <c r="C95" s="11">
        <v>6549000</v>
      </c>
      <c r="D95" s="11">
        <v>7686821</v>
      </c>
      <c r="E95" s="11">
        <v>6757523</v>
      </c>
      <c r="F95" s="11">
        <v>1050310</v>
      </c>
      <c r="G95" s="11">
        <v>0</v>
      </c>
    </row>
    <row r="96" spans="1:7" ht="12.5" customHeight="1" x14ac:dyDescent="0.45">
      <c r="A96" s="10" t="s">
        <v>199</v>
      </c>
      <c r="B96" s="11">
        <v>46000</v>
      </c>
      <c r="C96" s="11">
        <v>0</v>
      </c>
      <c r="D96" s="11">
        <v>0</v>
      </c>
      <c r="E96" s="11">
        <v>0</v>
      </c>
      <c r="F96" s="11">
        <v>46000</v>
      </c>
      <c r="G96" s="11">
        <v>0</v>
      </c>
    </row>
    <row r="97" spans="1:7" ht="12.5" customHeight="1" x14ac:dyDescent="0.45">
      <c r="A97" s="10" t="s">
        <v>202</v>
      </c>
      <c r="B97" s="11">
        <v>5018077</v>
      </c>
      <c r="C97" s="11">
        <v>0</v>
      </c>
      <c r="D97" s="11">
        <v>2560300</v>
      </c>
      <c r="E97" s="11">
        <v>2026677</v>
      </c>
      <c r="F97" s="11">
        <v>431100</v>
      </c>
      <c r="G97" s="11">
        <v>0</v>
      </c>
    </row>
    <row r="98" spans="1:7" ht="12.5" customHeight="1" x14ac:dyDescent="0.45">
      <c r="A98" s="10" t="s">
        <v>204</v>
      </c>
      <c r="B98" s="11">
        <v>5096000</v>
      </c>
      <c r="C98" s="11">
        <v>0</v>
      </c>
      <c r="D98" s="11">
        <v>1810000</v>
      </c>
      <c r="E98" s="11">
        <v>3286000</v>
      </c>
      <c r="F98" s="11">
        <v>0</v>
      </c>
      <c r="G98" s="11">
        <v>0</v>
      </c>
    </row>
    <row r="99" spans="1:7" ht="12.5" customHeight="1" x14ac:dyDescent="0.45">
      <c r="A99" s="10" t="s">
        <v>205</v>
      </c>
      <c r="B99" s="11">
        <v>6165977</v>
      </c>
      <c r="C99" s="11">
        <v>831400</v>
      </c>
      <c r="D99" s="11">
        <v>3316521</v>
      </c>
      <c r="E99" s="11">
        <v>1444846</v>
      </c>
      <c r="F99" s="11">
        <v>573210</v>
      </c>
      <c r="G99" s="11">
        <v>0</v>
      </c>
    </row>
    <row r="100" spans="1:7" ht="12.5" customHeight="1" x14ac:dyDescent="0.45">
      <c r="A100" s="10" t="s">
        <v>207</v>
      </c>
      <c r="B100" s="11">
        <v>5717600</v>
      </c>
      <c r="C100" s="11">
        <v>5717600</v>
      </c>
      <c r="D100" s="11">
        <v>0</v>
      </c>
      <c r="E100" s="11">
        <v>0</v>
      </c>
      <c r="F100" s="11">
        <v>0</v>
      </c>
      <c r="G100" s="11">
        <v>0</v>
      </c>
    </row>
    <row r="101" spans="1:7" ht="12.5" customHeight="1" x14ac:dyDescent="0.45">
      <c r="A101" s="10" t="s">
        <v>215</v>
      </c>
      <c r="B101" s="11">
        <v>273572365</v>
      </c>
      <c r="C101" s="11">
        <v>20055900</v>
      </c>
      <c r="D101" s="11">
        <v>141839681</v>
      </c>
      <c r="E101" s="11">
        <v>103587042</v>
      </c>
      <c r="F101" s="11">
        <v>6956017</v>
      </c>
      <c r="G101" s="11">
        <v>1133725</v>
      </c>
    </row>
    <row r="102" spans="1:7" ht="12.5" customHeight="1" x14ac:dyDescent="0.45">
      <c r="A102" s="10" t="s">
        <v>216</v>
      </c>
      <c r="B102" s="11">
        <v>49073530</v>
      </c>
      <c r="C102" s="11">
        <v>0</v>
      </c>
      <c r="D102" s="11">
        <v>37210660</v>
      </c>
      <c r="E102" s="11">
        <v>11862870</v>
      </c>
      <c r="F102" s="11">
        <v>0</v>
      </c>
      <c r="G102" s="11">
        <v>0</v>
      </c>
    </row>
    <row r="103" spans="1:7" ht="12.5" customHeight="1" x14ac:dyDescent="0.45">
      <c r="A103" s="10" t="s">
        <v>219</v>
      </c>
      <c r="B103" s="11">
        <v>1197661</v>
      </c>
      <c r="C103" s="11">
        <v>0</v>
      </c>
      <c r="D103" s="11">
        <v>847661</v>
      </c>
      <c r="E103" s="11">
        <v>350000</v>
      </c>
      <c r="F103" s="11">
        <v>0</v>
      </c>
      <c r="G103" s="11">
        <v>0</v>
      </c>
    </row>
    <row r="104" spans="1:7" ht="12.5" customHeight="1" x14ac:dyDescent="0.45">
      <c r="A104" s="10" t="s">
        <v>220</v>
      </c>
      <c r="B104" s="11">
        <v>166544500</v>
      </c>
      <c r="C104" s="11">
        <v>0</v>
      </c>
      <c r="D104" s="11">
        <v>92919500</v>
      </c>
      <c r="E104" s="11">
        <v>73625000</v>
      </c>
      <c r="F104" s="11">
        <v>0</v>
      </c>
      <c r="G104" s="11">
        <v>0</v>
      </c>
    </row>
    <row r="105" spans="1:7" ht="12.5" customHeight="1" x14ac:dyDescent="0.45">
      <c r="A105" s="10" t="s">
        <v>221</v>
      </c>
      <c r="B105" s="11">
        <v>5051817</v>
      </c>
      <c r="C105" s="11">
        <v>0</v>
      </c>
      <c r="D105" s="11">
        <v>0</v>
      </c>
      <c r="E105" s="11">
        <v>0</v>
      </c>
      <c r="F105" s="11">
        <v>5051817</v>
      </c>
      <c r="G105" s="11">
        <v>0</v>
      </c>
    </row>
    <row r="106" spans="1:7" ht="12.5" customHeight="1" x14ac:dyDescent="0.45">
      <c r="A106" s="10" t="s">
        <v>222</v>
      </c>
      <c r="B106" s="11">
        <v>51704857</v>
      </c>
      <c r="C106" s="11">
        <v>20055900</v>
      </c>
      <c r="D106" s="11">
        <v>10861860</v>
      </c>
      <c r="E106" s="11">
        <v>17749172</v>
      </c>
      <c r="F106" s="11">
        <v>1904200</v>
      </c>
      <c r="G106" s="11">
        <v>1133725</v>
      </c>
    </row>
    <row r="107" spans="1:7" ht="12.5" customHeight="1" x14ac:dyDescent="0.45">
      <c r="A107" s="10" t="s">
        <v>227</v>
      </c>
      <c r="B107" s="11">
        <v>-442989</v>
      </c>
      <c r="C107" s="11">
        <v>0</v>
      </c>
      <c r="D107" s="11">
        <v>0</v>
      </c>
      <c r="E107" s="11">
        <v>0</v>
      </c>
      <c r="F107" s="11">
        <v>-442989</v>
      </c>
      <c r="G107" s="11">
        <v>0</v>
      </c>
    </row>
    <row r="108" spans="1:7" ht="12.5" customHeight="1" x14ac:dyDescent="0.45">
      <c r="A108" s="10" t="s">
        <v>232</v>
      </c>
      <c r="B108" s="11">
        <v>-442989</v>
      </c>
      <c r="C108" s="11">
        <v>0</v>
      </c>
      <c r="D108" s="11">
        <v>0</v>
      </c>
      <c r="E108" s="11">
        <v>0</v>
      </c>
      <c r="F108" s="11">
        <v>-442989</v>
      </c>
      <c r="G108" s="11">
        <v>0</v>
      </c>
    </row>
    <row r="109" spans="1:7" ht="12.5" customHeight="1" x14ac:dyDescent="0.45">
      <c r="A109" s="10" t="s">
        <v>335</v>
      </c>
      <c r="B109" s="11">
        <v>226122330</v>
      </c>
      <c r="C109" s="11">
        <v>117000298</v>
      </c>
      <c r="D109" s="11">
        <v>9698128</v>
      </c>
      <c r="E109" s="11">
        <v>130806496</v>
      </c>
      <c r="F109" s="11">
        <v>15702754</v>
      </c>
      <c r="G109" s="11">
        <v>-47085346</v>
      </c>
    </row>
    <row r="110" spans="1:7" ht="12.5" customHeight="1" x14ac:dyDescent="0.45">
      <c r="A110" s="10" t="s">
        <v>254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</row>
    <row r="111" spans="1:7" ht="12.5" customHeight="1" x14ac:dyDescent="0.45">
      <c r="A111" s="10" t="s">
        <v>255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</row>
    <row r="112" spans="1:7" ht="12.5" customHeight="1" x14ac:dyDescent="0.45">
      <c r="A112" s="10" t="s">
        <v>336</v>
      </c>
      <c r="B112" s="11">
        <v>226122330</v>
      </c>
      <c r="C112" s="11">
        <v>117000298</v>
      </c>
      <c r="D112" s="11">
        <v>9698128</v>
      </c>
      <c r="E112" s="11">
        <v>130806496</v>
      </c>
      <c r="F112" s="11">
        <v>15702754</v>
      </c>
      <c r="G112" s="11">
        <v>-47085346</v>
      </c>
    </row>
    <row r="113" spans="1:7" ht="12.5" customHeight="1" x14ac:dyDescent="0.45">
      <c r="A113" s="10" t="s">
        <v>337</v>
      </c>
      <c r="B113" s="11">
        <v>226122330</v>
      </c>
      <c r="C113" s="11">
        <v>117000298</v>
      </c>
      <c r="D113" s="11">
        <v>9698128</v>
      </c>
      <c r="E113" s="11">
        <v>130806496</v>
      </c>
      <c r="F113" s="11">
        <v>15702754</v>
      </c>
      <c r="G113" s="11">
        <v>-47085346</v>
      </c>
    </row>
    <row r="114" spans="1:7" ht="12.5" customHeight="1" x14ac:dyDescent="0.45">
      <c r="A114" s="10" t="s">
        <v>258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</row>
    <row r="115" spans="1:7" ht="12.5" customHeight="1" x14ac:dyDescent="0.45">
      <c r="A115" s="10" t="s">
        <v>338</v>
      </c>
      <c r="B115" s="11">
        <v>226122330</v>
      </c>
      <c r="C115" s="11">
        <v>117000298</v>
      </c>
      <c r="D115" s="11">
        <v>9698128</v>
      </c>
      <c r="E115" s="11">
        <v>130806496</v>
      </c>
      <c r="F115" s="11">
        <v>15702754</v>
      </c>
      <c r="G115" s="11">
        <v>-47085346</v>
      </c>
    </row>
    <row r="116" spans="1:7" ht="12.5" customHeight="1" x14ac:dyDescent="0.45">
      <c r="A116" s="10" t="s">
        <v>260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</row>
    <row r="117" spans="1:7" ht="12.5" customHeight="1" x14ac:dyDescent="0.45">
      <c r="A117" s="10" t="s">
        <v>339</v>
      </c>
      <c r="B117" s="11">
        <v>226122330</v>
      </c>
      <c r="C117" s="11">
        <v>117000298</v>
      </c>
      <c r="D117" s="11">
        <v>9698128</v>
      </c>
      <c r="E117" s="11">
        <v>130806496</v>
      </c>
      <c r="F117" s="11">
        <v>15702754</v>
      </c>
      <c r="G117" s="11">
        <v>-47085346</v>
      </c>
    </row>
    <row r="118" spans="1:7" ht="12.5" customHeight="1" x14ac:dyDescent="0.45">
      <c r="A118" s="10" t="s">
        <v>262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</row>
    <row r="119" spans="1:7" ht="12.5" customHeight="1" x14ac:dyDescent="0.45">
      <c r="A119" s="10" t="s">
        <v>263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 spans="1:7" ht="12.5" customHeight="1" x14ac:dyDescent="0.45">
      <c r="A120" s="10" t="s">
        <v>264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</row>
    <row r="121" spans="1:7" ht="12.5" customHeight="1" x14ac:dyDescent="0.45">
      <c r="A121" s="10" t="s">
        <v>265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</row>
    <row r="122" spans="1:7" ht="12.5" customHeight="1" x14ac:dyDescent="0.45">
      <c r="A122" s="10" t="s">
        <v>266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4E8C-399B-43E3-9240-193E4623AAB1}">
  <dimension ref="A1:H121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287</v>
      </c>
      <c r="D1" s="9" t="s">
        <v>288</v>
      </c>
      <c r="E1" s="9" t="s">
        <v>289</v>
      </c>
      <c r="F1" s="9" t="s">
        <v>290</v>
      </c>
      <c r="G1" s="9" t="s">
        <v>291</v>
      </c>
      <c r="H1" s="9" t="s">
        <v>292</v>
      </c>
    </row>
    <row r="2" spans="1:8" ht="12.5" customHeight="1" x14ac:dyDescent="0.45">
      <c r="A2" s="76" t="s">
        <v>0</v>
      </c>
      <c r="B2" s="76" t="s">
        <v>250</v>
      </c>
      <c r="C2" s="9" t="s">
        <v>293</v>
      </c>
      <c r="D2" s="9" t="s">
        <v>294</v>
      </c>
      <c r="E2" s="9" t="s">
        <v>295</v>
      </c>
      <c r="F2" s="9" t="s">
        <v>296</v>
      </c>
      <c r="G2" s="9" t="s">
        <v>297</v>
      </c>
      <c r="H2" s="9" t="s">
        <v>298</v>
      </c>
    </row>
    <row r="3" spans="1:8" ht="12.5" customHeight="1" x14ac:dyDescent="0.45">
      <c r="A3" s="10" t="s">
        <v>251</v>
      </c>
      <c r="B3" s="11">
        <v>-475814744</v>
      </c>
      <c r="C3" s="11">
        <v>-105952196</v>
      </c>
      <c r="D3" s="11">
        <v>-240628416</v>
      </c>
      <c r="E3" s="11">
        <v>-211427183</v>
      </c>
      <c r="F3" s="11">
        <v>123239073</v>
      </c>
      <c r="G3" s="11">
        <v>-12183444</v>
      </c>
      <c r="H3" s="11">
        <v>-28862578</v>
      </c>
    </row>
    <row r="4" spans="1:8" ht="12.5" customHeight="1" x14ac:dyDescent="0.45">
      <c r="A4" s="10" t="s">
        <v>1</v>
      </c>
      <c r="B4" s="11">
        <v>4968158170</v>
      </c>
      <c r="C4" s="11">
        <v>0</v>
      </c>
      <c r="D4" s="11">
        <v>1824634388</v>
      </c>
      <c r="E4" s="11">
        <v>1724058158</v>
      </c>
      <c r="F4" s="11">
        <v>571017553</v>
      </c>
      <c r="G4" s="11">
        <v>684199986</v>
      </c>
      <c r="H4" s="11">
        <v>164248085</v>
      </c>
    </row>
    <row r="5" spans="1:8" ht="12.5" customHeight="1" x14ac:dyDescent="0.45">
      <c r="A5" s="10" t="s">
        <v>2</v>
      </c>
      <c r="B5" s="11">
        <v>1950787066</v>
      </c>
      <c r="C5" s="11">
        <v>0</v>
      </c>
      <c r="D5" s="11">
        <v>894597068</v>
      </c>
      <c r="E5" s="11">
        <v>858042262</v>
      </c>
      <c r="F5" s="11">
        <v>695054</v>
      </c>
      <c r="G5" s="11">
        <v>184231045</v>
      </c>
      <c r="H5" s="11">
        <v>13221637</v>
      </c>
    </row>
    <row r="6" spans="1:8" ht="12.5" customHeight="1" x14ac:dyDescent="0.45">
      <c r="A6" s="10" t="s">
        <v>3</v>
      </c>
      <c r="B6" s="11">
        <v>15231728</v>
      </c>
      <c r="C6" s="11">
        <v>0</v>
      </c>
      <c r="D6" s="11">
        <v>5009637</v>
      </c>
      <c r="E6" s="11">
        <v>2078909</v>
      </c>
      <c r="F6" s="11">
        <v>0</v>
      </c>
      <c r="G6" s="11">
        <v>8143182</v>
      </c>
      <c r="H6" s="11">
        <v>0</v>
      </c>
    </row>
    <row r="7" spans="1:8" ht="12.5" customHeight="1" x14ac:dyDescent="0.45">
      <c r="A7" s="10" t="s">
        <v>4</v>
      </c>
      <c r="B7" s="11">
        <v>3689000</v>
      </c>
      <c r="C7" s="11">
        <v>0</v>
      </c>
      <c r="D7" s="11">
        <v>0</v>
      </c>
      <c r="E7" s="11">
        <v>0</v>
      </c>
      <c r="F7" s="11">
        <v>0</v>
      </c>
      <c r="G7" s="11">
        <v>3689000</v>
      </c>
      <c r="H7" s="11">
        <v>0</v>
      </c>
    </row>
    <row r="8" spans="1:8" ht="12.5" customHeight="1" x14ac:dyDescent="0.45">
      <c r="A8" s="10" t="s">
        <v>6</v>
      </c>
      <c r="B8" s="11">
        <v>1832734157</v>
      </c>
      <c r="C8" s="11">
        <v>0</v>
      </c>
      <c r="D8" s="11">
        <v>835213069</v>
      </c>
      <c r="E8" s="11">
        <v>814040898</v>
      </c>
      <c r="F8" s="11">
        <v>695054</v>
      </c>
      <c r="G8" s="11">
        <v>169667408</v>
      </c>
      <c r="H8" s="11">
        <v>13117728</v>
      </c>
    </row>
    <row r="9" spans="1:8" ht="12.5" customHeight="1" x14ac:dyDescent="0.45">
      <c r="A9" s="10" t="s">
        <v>7</v>
      </c>
      <c r="B9" s="11">
        <v>46923613</v>
      </c>
      <c r="C9" s="11">
        <v>0</v>
      </c>
      <c r="D9" s="11">
        <v>24548515</v>
      </c>
      <c r="E9" s="11">
        <v>19539734</v>
      </c>
      <c r="F9" s="11">
        <v>0</v>
      </c>
      <c r="G9" s="11">
        <v>2731455</v>
      </c>
      <c r="H9" s="11">
        <v>103909</v>
      </c>
    </row>
    <row r="10" spans="1:8" ht="12.5" customHeight="1" x14ac:dyDescent="0.45">
      <c r="A10" s="10" t="s">
        <v>9</v>
      </c>
      <c r="B10" s="11">
        <v>52208568</v>
      </c>
      <c r="C10" s="11">
        <v>0</v>
      </c>
      <c r="D10" s="11">
        <v>29825847</v>
      </c>
      <c r="E10" s="11">
        <v>22382721</v>
      </c>
      <c r="F10" s="11">
        <v>0</v>
      </c>
      <c r="G10" s="11">
        <v>0</v>
      </c>
      <c r="H10" s="11">
        <v>0</v>
      </c>
    </row>
    <row r="11" spans="1:8" ht="12.5" customHeight="1" x14ac:dyDescent="0.45">
      <c r="A11" s="10" t="s">
        <v>11</v>
      </c>
      <c r="B11" s="11">
        <v>3017371104</v>
      </c>
      <c r="C11" s="11">
        <v>0</v>
      </c>
      <c r="D11" s="11">
        <v>930037320</v>
      </c>
      <c r="E11" s="11">
        <v>866015896</v>
      </c>
      <c r="F11" s="11">
        <v>570322499</v>
      </c>
      <c r="G11" s="11">
        <v>499968941</v>
      </c>
      <c r="H11" s="11">
        <v>151026448</v>
      </c>
    </row>
    <row r="12" spans="1:8" ht="12.5" customHeight="1" x14ac:dyDescent="0.45">
      <c r="A12" s="10" t="s">
        <v>12</v>
      </c>
      <c r="B12" s="11">
        <v>947955753</v>
      </c>
      <c r="C12" s="11">
        <v>0</v>
      </c>
      <c r="D12" s="11">
        <v>379772658</v>
      </c>
      <c r="E12" s="11">
        <v>424891716</v>
      </c>
      <c r="F12" s="11">
        <v>3328097</v>
      </c>
      <c r="G12" s="11">
        <v>127030233</v>
      </c>
      <c r="H12" s="11">
        <v>12933049</v>
      </c>
    </row>
    <row r="13" spans="1:8" ht="12.5" customHeight="1" x14ac:dyDescent="0.45">
      <c r="A13" s="10" t="s">
        <v>14</v>
      </c>
      <c r="B13" s="11">
        <v>840158637</v>
      </c>
      <c r="C13" s="11">
        <v>0</v>
      </c>
      <c r="D13" s="11">
        <v>314053549</v>
      </c>
      <c r="E13" s="11">
        <v>246208942</v>
      </c>
      <c r="F13" s="11">
        <v>146876278</v>
      </c>
      <c r="G13" s="11">
        <v>103926379</v>
      </c>
      <c r="H13" s="11">
        <v>29093489</v>
      </c>
    </row>
    <row r="14" spans="1:8" ht="12.5" customHeight="1" x14ac:dyDescent="0.45">
      <c r="A14" s="10" t="s">
        <v>15</v>
      </c>
      <c r="B14" s="11">
        <v>12947940</v>
      </c>
      <c r="C14" s="11">
        <v>0</v>
      </c>
      <c r="D14" s="11">
        <v>6827233</v>
      </c>
      <c r="E14" s="11">
        <v>5842935</v>
      </c>
      <c r="F14" s="11">
        <v>19500</v>
      </c>
      <c r="G14" s="11">
        <v>258272</v>
      </c>
      <c r="H14" s="11">
        <v>0</v>
      </c>
    </row>
    <row r="15" spans="1:8" ht="12.5" customHeight="1" x14ac:dyDescent="0.45">
      <c r="A15" s="10" t="s">
        <v>16</v>
      </c>
      <c r="B15" s="11">
        <v>371590606</v>
      </c>
      <c r="C15" s="11">
        <v>0</v>
      </c>
      <c r="D15" s="11">
        <v>139635458</v>
      </c>
      <c r="E15" s="11">
        <v>100726199</v>
      </c>
      <c r="F15" s="11">
        <v>-1049083</v>
      </c>
      <c r="G15" s="11">
        <v>23278122</v>
      </c>
      <c r="H15" s="11">
        <v>108999910</v>
      </c>
    </row>
    <row r="16" spans="1:8" ht="12.5" customHeight="1" x14ac:dyDescent="0.45">
      <c r="A16" s="10" t="s">
        <v>20</v>
      </c>
      <c r="B16" s="11">
        <v>666623642</v>
      </c>
      <c r="C16" s="11">
        <v>0</v>
      </c>
      <c r="D16" s="11">
        <v>0</v>
      </c>
      <c r="E16" s="11">
        <v>0</v>
      </c>
      <c r="F16" s="11">
        <v>421147707</v>
      </c>
      <c r="G16" s="11">
        <v>245475935</v>
      </c>
      <c r="H16" s="11">
        <v>0</v>
      </c>
    </row>
    <row r="17" spans="1:8" ht="12.5" customHeight="1" x14ac:dyDescent="0.45">
      <c r="A17" s="10" t="s">
        <v>21</v>
      </c>
      <c r="B17" s="11">
        <v>178094526</v>
      </c>
      <c r="C17" s="11">
        <v>0</v>
      </c>
      <c r="D17" s="11">
        <v>89748422</v>
      </c>
      <c r="E17" s="11">
        <v>88346104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2337683310</v>
      </c>
      <c r="C18" s="11">
        <v>0</v>
      </c>
      <c r="D18" s="11">
        <v>1062904711</v>
      </c>
      <c r="E18" s="11">
        <v>1015236416</v>
      </c>
      <c r="F18" s="11">
        <v>0</v>
      </c>
      <c r="G18" s="11">
        <v>239234091</v>
      </c>
      <c r="H18" s="11">
        <v>20308092</v>
      </c>
    </row>
    <row r="19" spans="1:8" ht="12.5" customHeight="1" x14ac:dyDescent="0.45">
      <c r="A19" s="10" t="s">
        <v>24</v>
      </c>
      <c r="B19" s="11">
        <v>2337683310</v>
      </c>
      <c r="C19" s="11">
        <v>0</v>
      </c>
      <c r="D19" s="11">
        <v>1062904711</v>
      </c>
      <c r="E19" s="11">
        <v>1015236416</v>
      </c>
      <c r="F19" s="11">
        <v>0</v>
      </c>
      <c r="G19" s="11">
        <v>239234091</v>
      </c>
      <c r="H19" s="11">
        <v>20308092</v>
      </c>
    </row>
    <row r="20" spans="1:8" ht="12.5" customHeight="1" x14ac:dyDescent="0.45">
      <c r="A20" s="10" t="s">
        <v>25</v>
      </c>
      <c r="B20" s="11">
        <v>2630474860</v>
      </c>
      <c r="C20" s="11">
        <v>0</v>
      </c>
      <c r="D20" s="11">
        <v>761729677</v>
      </c>
      <c r="E20" s="11">
        <v>708821742</v>
      </c>
      <c r="F20" s="11">
        <v>571017553</v>
      </c>
      <c r="G20" s="11">
        <v>444965895</v>
      </c>
      <c r="H20" s="11">
        <v>143939993</v>
      </c>
    </row>
    <row r="21" spans="1:8" ht="12.5" customHeight="1" x14ac:dyDescent="0.45">
      <c r="A21" s="10" t="s">
        <v>26</v>
      </c>
      <c r="B21" s="11">
        <v>3106289604</v>
      </c>
      <c r="C21" s="11">
        <v>105952196</v>
      </c>
      <c r="D21" s="11">
        <v>1002358093</v>
      </c>
      <c r="E21" s="11">
        <v>920248925</v>
      </c>
      <c r="F21" s="11">
        <v>447778480</v>
      </c>
      <c r="G21" s="11">
        <v>457149339</v>
      </c>
      <c r="H21" s="11">
        <v>172802571</v>
      </c>
    </row>
    <row r="22" spans="1:8" ht="12.5" customHeight="1" x14ac:dyDescent="0.45">
      <c r="A22" s="10" t="s">
        <v>27</v>
      </c>
      <c r="B22" s="11">
        <v>11435140</v>
      </c>
      <c r="C22" s="11">
        <v>11435140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</row>
    <row r="23" spans="1:8" ht="12.5" customHeight="1" x14ac:dyDescent="0.45">
      <c r="A23" s="10" t="s">
        <v>28</v>
      </c>
      <c r="B23" s="11">
        <v>1247422170</v>
      </c>
      <c r="C23" s="11">
        <v>31410550</v>
      </c>
      <c r="D23" s="11">
        <v>400467050</v>
      </c>
      <c r="E23" s="11">
        <v>396199560</v>
      </c>
      <c r="F23" s="11">
        <v>188687660</v>
      </c>
      <c r="G23" s="11">
        <v>151881850</v>
      </c>
      <c r="H23" s="11">
        <v>78775500</v>
      </c>
    </row>
    <row r="24" spans="1:8" ht="12.5" customHeight="1" x14ac:dyDescent="0.45">
      <c r="A24" s="10" t="s">
        <v>29</v>
      </c>
      <c r="B24" s="11">
        <v>70961010</v>
      </c>
      <c r="C24" s="11">
        <v>19584030</v>
      </c>
      <c r="D24" s="11">
        <v>9946640</v>
      </c>
      <c r="E24" s="11">
        <v>16899430</v>
      </c>
      <c r="F24" s="11">
        <v>10504890</v>
      </c>
      <c r="G24" s="11">
        <v>14026020</v>
      </c>
      <c r="H24" s="11">
        <v>0</v>
      </c>
    </row>
    <row r="25" spans="1:8" ht="12.5" customHeight="1" x14ac:dyDescent="0.45">
      <c r="A25" s="10" t="s">
        <v>30</v>
      </c>
      <c r="B25" s="11">
        <v>12885800</v>
      </c>
      <c r="C25" s="11">
        <v>3558340</v>
      </c>
      <c r="D25" s="11">
        <v>1774840</v>
      </c>
      <c r="E25" s="11">
        <v>3099140</v>
      </c>
      <c r="F25" s="11">
        <v>1870330</v>
      </c>
      <c r="G25" s="11">
        <v>2583150</v>
      </c>
      <c r="H25" s="11">
        <v>0</v>
      </c>
    </row>
    <row r="26" spans="1:8" ht="12.5" customHeight="1" x14ac:dyDescent="0.45">
      <c r="A26" s="10" t="s">
        <v>31</v>
      </c>
      <c r="B26" s="11">
        <v>2100000</v>
      </c>
      <c r="C26" s="11">
        <v>700000</v>
      </c>
      <c r="D26" s="11">
        <v>0</v>
      </c>
      <c r="E26" s="11">
        <v>700000</v>
      </c>
      <c r="F26" s="11">
        <v>0</v>
      </c>
      <c r="G26" s="11">
        <v>700000</v>
      </c>
      <c r="H26" s="11">
        <v>0</v>
      </c>
    </row>
    <row r="27" spans="1:8" ht="12.5" customHeight="1" x14ac:dyDescent="0.45">
      <c r="A27" s="10" t="s">
        <v>33</v>
      </c>
      <c r="B27" s="11">
        <v>1810620</v>
      </c>
      <c r="C27" s="11">
        <v>234240</v>
      </c>
      <c r="D27" s="11">
        <v>314430</v>
      </c>
      <c r="E27" s="11">
        <v>247470</v>
      </c>
      <c r="F27" s="11">
        <v>331430</v>
      </c>
      <c r="G27" s="11">
        <v>683050</v>
      </c>
      <c r="H27" s="11">
        <v>0</v>
      </c>
    </row>
    <row r="28" spans="1:8" ht="12.5" customHeight="1" x14ac:dyDescent="0.45">
      <c r="A28" s="10" t="s">
        <v>34</v>
      </c>
      <c r="B28" s="11">
        <v>1332370</v>
      </c>
      <c r="C28" s="11">
        <v>732370</v>
      </c>
      <c r="D28" s="11">
        <v>0</v>
      </c>
      <c r="E28" s="11">
        <v>0</v>
      </c>
      <c r="F28" s="11">
        <v>0</v>
      </c>
      <c r="G28" s="11">
        <v>600000</v>
      </c>
      <c r="H28" s="11">
        <v>0</v>
      </c>
    </row>
    <row r="29" spans="1:8" ht="12.5" customHeight="1" x14ac:dyDescent="0.45">
      <c r="A29" s="10" t="s">
        <v>41</v>
      </c>
      <c r="B29" s="11">
        <v>2790000</v>
      </c>
      <c r="C29" s="11">
        <v>775000</v>
      </c>
      <c r="D29" s="11">
        <v>465000</v>
      </c>
      <c r="E29" s="11">
        <v>620000</v>
      </c>
      <c r="F29" s="11">
        <v>465000</v>
      </c>
      <c r="G29" s="11">
        <v>465000</v>
      </c>
      <c r="H29" s="11">
        <v>0</v>
      </c>
    </row>
    <row r="30" spans="1:8" ht="12.5" customHeight="1" x14ac:dyDescent="0.45">
      <c r="A30" s="10" t="s">
        <v>46</v>
      </c>
      <c r="B30" s="11">
        <v>891107300</v>
      </c>
      <c r="C30" s="11">
        <v>4355730</v>
      </c>
      <c r="D30" s="11">
        <v>302235790</v>
      </c>
      <c r="E30" s="11">
        <v>292989920</v>
      </c>
      <c r="F30" s="11">
        <v>138997010</v>
      </c>
      <c r="G30" s="11">
        <v>104828190</v>
      </c>
      <c r="H30" s="11">
        <v>47700660</v>
      </c>
    </row>
    <row r="31" spans="1:8" ht="12.5" customHeight="1" x14ac:dyDescent="0.45">
      <c r="A31" s="10" t="s">
        <v>47</v>
      </c>
      <c r="B31" s="11">
        <v>150920770</v>
      </c>
      <c r="C31" s="11">
        <v>736710</v>
      </c>
      <c r="D31" s="11">
        <v>52429870</v>
      </c>
      <c r="E31" s="11">
        <v>49154880</v>
      </c>
      <c r="F31" s="11">
        <v>23012150</v>
      </c>
      <c r="G31" s="11">
        <v>17351950</v>
      </c>
      <c r="H31" s="11">
        <v>8235210</v>
      </c>
    </row>
    <row r="32" spans="1:8" ht="12.5" customHeight="1" x14ac:dyDescent="0.45">
      <c r="A32" s="10" t="s">
        <v>48</v>
      </c>
      <c r="B32" s="11">
        <v>28738720</v>
      </c>
      <c r="C32" s="11">
        <v>0</v>
      </c>
      <c r="D32" s="11">
        <v>10790330</v>
      </c>
      <c r="E32" s="11">
        <v>10854840</v>
      </c>
      <c r="F32" s="11">
        <v>3393550</v>
      </c>
      <c r="G32" s="11">
        <v>2500000</v>
      </c>
      <c r="H32" s="11">
        <v>1200000</v>
      </c>
    </row>
    <row r="33" spans="1:8" ht="12.5" customHeight="1" x14ac:dyDescent="0.45">
      <c r="A33" s="10" t="s">
        <v>49</v>
      </c>
      <c r="B33" s="11">
        <v>62605000</v>
      </c>
      <c r="C33" s="11">
        <v>310000</v>
      </c>
      <c r="D33" s="11">
        <v>21285000</v>
      </c>
      <c r="E33" s="11">
        <v>20640000</v>
      </c>
      <c r="F33" s="11">
        <v>9905000</v>
      </c>
      <c r="G33" s="11">
        <v>7210000</v>
      </c>
      <c r="H33" s="11">
        <v>3255000</v>
      </c>
    </row>
    <row r="34" spans="1:8" ht="12.5" customHeight="1" x14ac:dyDescent="0.45">
      <c r="A34" s="10" t="s">
        <v>52</v>
      </c>
      <c r="B34" s="11">
        <v>85640</v>
      </c>
      <c r="C34" s="11">
        <v>0</v>
      </c>
      <c r="D34" s="11">
        <v>85640</v>
      </c>
      <c r="E34" s="11">
        <v>0</v>
      </c>
      <c r="F34" s="11">
        <v>0</v>
      </c>
      <c r="G34" s="11">
        <v>0</v>
      </c>
      <c r="H34" s="11">
        <v>0</v>
      </c>
    </row>
    <row r="35" spans="1:8" ht="12.5" customHeight="1" x14ac:dyDescent="0.45">
      <c r="A35" s="10" t="s">
        <v>53</v>
      </c>
      <c r="B35" s="11">
        <v>18384630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18384630</v>
      </c>
    </row>
    <row r="36" spans="1:8" ht="12.5" customHeight="1" x14ac:dyDescent="0.45">
      <c r="A36" s="10" t="s">
        <v>56</v>
      </c>
      <c r="B36" s="11">
        <v>2131920</v>
      </c>
      <c r="C36" s="11">
        <v>335740</v>
      </c>
      <c r="D36" s="11">
        <v>389510</v>
      </c>
      <c r="E36" s="11">
        <v>663880</v>
      </c>
      <c r="F36" s="11">
        <v>208300</v>
      </c>
      <c r="G36" s="11">
        <v>534490</v>
      </c>
      <c r="H36" s="11">
        <v>0</v>
      </c>
    </row>
    <row r="37" spans="1:8" ht="12.5" customHeight="1" x14ac:dyDescent="0.45">
      <c r="A37" s="10" t="s">
        <v>58</v>
      </c>
      <c r="B37" s="11">
        <v>1568390</v>
      </c>
      <c r="C37" s="11">
        <v>88390</v>
      </c>
      <c r="D37" s="11">
        <v>750000</v>
      </c>
      <c r="E37" s="11">
        <v>330000</v>
      </c>
      <c r="F37" s="11">
        <v>0</v>
      </c>
      <c r="G37" s="11">
        <v>400000</v>
      </c>
      <c r="H37" s="11">
        <v>0</v>
      </c>
    </row>
    <row r="38" spans="1:8" ht="12.5" customHeight="1" x14ac:dyDescent="0.45">
      <c r="A38" s="10" t="s">
        <v>61</v>
      </c>
      <c r="B38" s="11">
        <v>458916190</v>
      </c>
      <c r="C38" s="11">
        <v>20884440</v>
      </c>
      <c r="D38" s="11">
        <v>147612160</v>
      </c>
      <c r="E38" s="11">
        <v>146276760</v>
      </c>
      <c r="F38" s="11">
        <v>64630040</v>
      </c>
      <c r="G38" s="11">
        <v>58966050</v>
      </c>
      <c r="H38" s="11">
        <v>20546740</v>
      </c>
    </row>
    <row r="39" spans="1:8" ht="12.5" customHeight="1" x14ac:dyDescent="0.45">
      <c r="A39" s="10" t="s">
        <v>62</v>
      </c>
      <c r="B39" s="11">
        <v>75622280</v>
      </c>
      <c r="C39" s="11">
        <v>19534440</v>
      </c>
      <c r="D39" s="11">
        <v>11616430</v>
      </c>
      <c r="E39" s="11">
        <v>17019930</v>
      </c>
      <c r="F39" s="11">
        <v>11607180</v>
      </c>
      <c r="G39" s="11">
        <v>15844300</v>
      </c>
      <c r="H39" s="11">
        <v>0</v>
      </c>
    </row>
    <row r="40" spans="1:8" ht="12.5" customHeight="1" x14ac:dyDescent="0.45">
      <c r="A40" s="10" t="s">
        <v>66</v>
      </c>
      <c r="B40" s="11">
        <v>380893910</v>
      </c>
      <c r="C40" s="11">
        <v>1350000</v>
      </c>
      <c r="D40" s="11">
        <v>135995730</v>
      </c>
      <c r="E40" s="11">
        <v>129256830</v>
      </c>
      <c r="F40" s="11">
        <v>53022860</v>
      </c>
      <c r="G40" s="11">
        <v>43121750</v>
      </c>
      <c r="H40" s="11">
        <v>18146740</v>
      </c>
    </row>
    <row r="41" spans="1:8" ht="12.5" customHeight="1" x14ac:dyDescent="0.45">
      <c r="A41" s="10" t="s">
        <v>67</v>
      </c>
      <c r="B41" s="11">
        <v>2400000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2400000</v>
      </c>
    </row>
    <row r="42" spans="1:8" ht="12.5" customHeight="1" x14ac:dyDescent="0.45">
      <c r="A42" s="10" t="s">
        <v>69</v>
      </c>
      <c r="B42" s="11">
        <v>150007753</v>
      </c>
      <c r="C42" s="11">
        <v>5318662</v>
      </c>
      <c r="D42" s="11">
        <v>48244627</v>
      </c>
      <c r="E42" s="11">
        <v>48767430</v>
      </c>
      <c r="F42" s="11">
        <v>20541685</v>
      </c>
      <c r="G42" s="11">
        <v>16905300</v>
      </c>
      <c r="H42" s="11">
        <v>10230049</v>
      </c>
    </row>
    <row r="43" spans="1:8" ht="12.5" customHeight="1" x14ac:dyDescent="0.45">
      <c r="A43" s="10" t="s">
        <v>70</v>
      </c>
      <c r="B43" s="11">
        <v>150007753</v>
      </c>
      <c r="C43" s="11">
        <v>5318662</v>
      </c>
      <c r="D43" s="11">
        <v>48244627</v>
      </c>
      <c r="E43" s="11">
        <v>48767430</v>
      </c>
      <c r="F43" s="11">
        <v>20541685</v>
      </c>
      <c r="G43" s="11">
        <v>16905300</v>
      </c>
      <c r="H43" s="11">
        <v>10230049</v>
      </c>
    </row>
    <row r="44" spans="1:8" ht="12.5" customHeight="1" x14ac:dyDescent="0.45">
      <c r="A44" s="10" t="s">
        <v>71</v>
      </c>
      <c r="B44" s="11">
        <v>20400000</v>
      </c>
      <c r="C44" s="11">
        <v>1000000</v>
      </c>
      <c r="D44" s="11">
        <v>6400000</v>
      </c>
      <c r="E44" s="11">
        <v>3000000</v>
      </c>
      <c r="F44" s="11">
        <v>7000000</v>
      </c>
      <c r="G44" s="11">
        <v>1000000</v>
      </c>
      <c r="H44" s="11">
        <v>2000000</v>
      </c>
    </row>
    <row r="45" spans="1:8" ht="12.5" customHeight="1" x14ac:dyDescent="0.45">
      <c r="A45" s="10" t="s">
        <v>252</v>
      </c>
      <c r="B45" s="11">
        <v>20400000</v>
      </c>
      <c r="C45" s="11">
        <v>1000000</v>
      </c>
      <c r="D45" s="11">
        <v>6400000</v>
      </c>
      <c r="E45" s="11">
        <v>3000000</v>
      </c>
      <c r="F45" s="11">
        <v>7000000</v>
      </c>
      <c r="G45" s="11">
        <v>1000000</v>
      </c>
      <c r="H45" s="11">
        <v>2000000</v>
      </c>
    </row>
    <row r="46" spans="1:8" ht="12.5" customHeight="1" x14ac:dyDescent="0.45">
      <c r="A46" s="10" t="s">
        <v>72</v>
      </c>
      <c r="B46" s="11">
        <v>431767539</v>
      </c>
      <c r="C46" s="11">
        <v>6460894</v>
      </c>
      <c r="D46" s="11">
        <v>133316765</v>
      </c>
      <c r="E46" s="11">
        <v>131042969</v>
      </c>
      <c r="F46" s="11">
        <v>88770542</v>
      </c>
      <c r="G46" s="11">
        <v>36930749</v>
      </c>
      <c r="H46" s="11">
        <v>35245620</v>
      </c>
    </row>
    <row r="47" spans="1:8" ht="12.5" customHeight="1" x14ac:dyDescent="0.45">
      <c r="A47" s="10" t="s">
        <v>74</v>
      </c>
      <c r="B47" s="11">
        <v>12408839</v>
      </c>
      <c r="C47" s="11">
        <v>422651</v>
      </c>
      <c r="D47" s="11">
        <v>3920111</v>
      </c>
      <c r="E47" s="11">
        <v>3850737</v>
      </c>
      <c r="F47" s="11">
        <v>2018122</v>
      </c>
      <c r="G47" s="11">
        <v>1416947</v>
      </c>
      <c r="H47" s="11">
        <v>780271</v>
      </c>
    </row>
    <row r="48" spans="1:8" ht="12.5" customHeight="1" x14ac:dyDescent="0.45">
      <c r="A48" s="10" t="s">
        <v>75</v>
      </c>
      <c r="B48" s="11">
        <v>70271770</v>
      </c>
      <c r="C48" s="11">
        <v>2491550</v>
      </c>
      <c r="D48" s="11">
        <v>22600400</v>
      </c>
      <c r="E48" s="11">
        <v>22845310</v>
      </c>
      <c r="F48" s="11">
        <v>9622840</v>
      </c>
      <c r="G48" s="11">
        <v>7919360</v>
      </c>
      <c r="H48" s="11">
        <v>4792310</v>
      </c>
    </row>
    <row r="49" spans="1:8" ht="12.5" customHeight="1" x14ac:dyDescent="0.45">
      <c r="A49" s="10" t="s">
        <v>76</v>
      </c>
      <c r="B49" s="11">
        <v>68027780</v>
      </c>
      <c r="C49" s="11">
        <v>1510280</v>
      </c>
      <c r="D49" s="11">
        <v>22549640</v>
      </c>
      <c r="E49" s="11">
        <v>22783280</v>
      </c>
      <c r="F49" s="11">
        <v>9705560</v>
      </c>
      <c r="G49" s="11">
        <v>7859860</v>
      </c>
      <c r="H49" s="11">
        <v>3619160</v>
      </c>
    </row>
    <row r="50" spans="1:8" ht="12.5" customHeight="1" x14ac:dyDescent="0.45">
      <c r="A50" s="10" t="s">
        <v>77</v>
      </c>
      <c r="B50" s="11">
        <v>25119852</v>
      </c>
      <c r="C50" s="11">
        <v>855594</v>
      </c>
      <c r="D50" s="11">
        <v>7935679</v>
      </c>
      <c r="E50" s="11">
        <v>7795247</v>
      </c>
      <c r="F50" s="11">
        <v>4085390</v>
      </c>
      <c r="G50" s="11">
        <v>2868398</v>
      </c>
      <c r="H50" s="11">
        <v>1579544</v>
      </c>
    </row>
    <row r="51" spans="1:8" ht="12.5" customHeight="1" x14ac:dyDescent="0.45">
      <c r="A51" s="10" t="s">
        <v>79</v>
      </c>
      <c r="B51" s="11">
        <v>117510045</v>
      </c>
      <c r="C51" s="11">
        <v>0</v>
      </c>
      <c r="D51" s="11">
        <v>30410259</v>
      </c>
      <c r="E51" s="11">
        <v>37674886</v>
      </c>
      <c r="F51" s="11">
        <v>42352900</v>
      </c>
      <c r="G51" s="11">
        <v>7072000</v>
      </c>
      <c r="H51" s="11">
        <v>0</v>
      </c>
    </row>
    <row r="52" spans="1:8" ht="12.5" customHeight="1" x14ac:dyDescent="0.45">
      <c r="A52" s="10" t="s">
        <v>80</v>
      </c>
      <c r="B52" s="11">
        <v>3500000</v>
      </c>
      <c r="C52" s="11">
        <v>400000</v>
      </c>
      <c r="D52" s="11">
        <v>600000</v>
      </c>
      <c r="E52" s="11">
        <v>1100000</v>
      </c>
      <c r="F52" s="11">
        <v>600000</v>
      </c>
      <c r="G52" s="11">
        <v>800000</v>
      </c>
      <c r="H52" s="11">
        <v>0</v>
      </c>
    </row>
    <row r="53" spans="1:8" ht="12.5" customHeight="1" x14ac:dyDescent="0.45">
      <c r="A53" s="10" t="s">
        <v>82</v>
      </c>
      <c r="B53" s="11">
        <v>2258837</v>
      </c>
      <c r="C53" s="11">
        <v>30819</v>
      </c>
      <c r="D53" s="11">
        <v>872825</v>
      </c>
      <c r="E53" s="11">
        <v>1015279</v>
      </c>
      <c r="F53" s="11">
        <v>205730</v>
      </c>
      <c r="G53" s="11">
        <v>134184</v>
      </c>
      <c r="H53" s="11">
        <v>0</v>
      </c>
    </row>
    <row r="54" spans="1:8" ht="12.5" customHeight="1" x14ac:dyDescent="0.45">
      <c r="A54" s="10" t="s">
        <v>83</v>
      </c>
      <c r="B54" s="11">
        <v>7500000</v>
      </c>
      <c r="C54" s="11">
        <v>0</v>
      </c>
      <c r="D54" s="11">
        <v>5000000</v>
      </c>
      <c r="E54" s="11">
        <v>0</v>
      </c>
      <c r="F54" s="11">
        <v>0</v>
      </c>
      <c r="G54" s="11">
        <v>0</v>
      </c>
      <c r="H54" s="11">
        <v>2500000</v>
      </c>
    </row>
    <row r="55" spans="1:8" ht="12.5" customHeight="1" x14ac:dyDescent="0.45">
      <c r="A55" s="10" t="s">
        <v>103</v>
      </c>
      <c r="B55" s="11">
        <v>45000000</v>
      </c>
      <c r="C55" s="11">
        <v>750000</v>
      </c>
      <c r="D55" s="11">
        <v>14300000</v>
      </c>
      <c r="E55" s="11">
        <v>14100000</v>
      </c>
      <c r="F55" s="11">
        <v>7250000</v>
      </c>
      <c r="G55" s="11">
        <v>5400000</v>
      </c>
      <c r="H55" s="11">
        <v>3200000</v>
      </c>
    </row>
    <row r="56" spans="1:8" ht="12.5" customHeight="1" x14ac:dyDescent="0.45">
      <c r="A56" s="10" t="s">
        <v>107</v>
      </c>
      <c r="B56" s="11">
        <v>80170416</v>
      </c>
      <c r="C56" s="11">
        <v>0</v>
      </c>
      <c r="D56" s="11">
        <v>25127851</v>
      </c>
      <c r="E56" s="11">
        <v>19878230</v>
      </c>
      <c r="F56" s="11">
        <v>12930000</v>
      </c>
      <c r="G56" s="11">
        <v>3460000</v>
      </c>
      <c r="H56" s="11">
        <v>18774335</v>
      </c>
    </row>
    <row r="57" spans="1:8" ht="12.5" customHeight="1" x14ac:dyDescent="0.45">
      <c r="A57" s="10" t="s">
        <v>113</v>
      </c>
      <c r="B57" s="11">
        <v>8426369</v>
      </c>
      <c r="C57" s="11">
        <v>333000</v>
      </c>
      <c r="D57" s="11">
        <v>2955069</v>
      </c>
      <c r="E57" s="11">
        <v>1922700</v>
      </c>
      <c r="F57" s="11">
        <v>1697800</v>
      </c>
      <c r="G57" s="11">
        <v>1064300</v>
      </c>
      <c r="H57" s="11">
        <v>453500</v>
      </c>
    </row>
    <row r="58" spans="1:8" ht="12.5" customHeight="1" x14ac:dyDescent="0.45">
      <c r="A58" s="10" t="s">
        <v>114</v>
      </c>
      <c r="B58" s="11">
        <v>7650369</v>
      </c>
      <c r="C58" s="11">
        <v>333000</v>
      </c>
      <c r="D58" s="11">
        <v>2955069</v>
      </c>
      <c r="E58" s="11">
        <v>1795700</v>
      </c>
      <c r="F58" s="11">
        <v>1280800</v>
      </c>
      <c r="G58" s="11">
        <v>832300</v>
      </c>
      <c r="H58" s="11">
        <v>453500</v>
      </c>
    </row>
    <row r="59" spans="1:8" ht="12.5" customHeight="1" x14ac:dyDescent="0.45">
      <c r="A59" s="10" t="s">
        <v>117</v>
      </c>
      <c r="B59" s="11">
        <v>776000</v>
      </c>
      <c r="C59" s="11">
        <v>0</v>
      </c>
      <c r="D59" s="11">
        <v>0</v>
      </c>
      <c r="E59" s="11">
        <v>127000</v>
      </c>
      <c r="F59" s="11">
        <v>417000</v>
      </c>
      <c r="G59" s="11">
        <v>232000</v>
      </c>
      <c r="H59" s="11">
        <v>0</v>
      </c>
    </row>
    <row r="60" spans="1:8" ht="12.5" customHeight="1" x14ac:dyDescent="0.45">
      <c r="A60" s="10" t="s">
        <v>120</v>
      </c>
      <c r="B60" s="11">
        <v>200000</v>
      </c>
      <c r="C60" s="11">
        <v>200000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</row>
    <row r="61" spans="1:8" ht="12.5" customHeight="1" x14ac:dyDescent="0.45">
      <c r="A61" s="10" t="s">
        <v>123</v>
      </c>
      <c r="B61" s="11">
        <v>200000</v>
      </c>
      <c r="C61" s="11">
        <v>200000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</row>
    <row r="62" spans="1:8" ht="12.5" customHeight="1" x14ac:dyDescent="0.45">
      <c r="A62" s="10" t="s">
        <v>124</v>
      </c>
      <c r="B62" s="11">
        <v>5012170</v>
      </c>
      <c r="C62" s="11">
        <v>4500</v>
      </c>
      <c r="D62" s="11">
        <v>1347222</v>
      </c>
      <c r="E62" s="11">
        <v>1404751</v>
      </c>
      <c r="F62" s="11">
        <v>1092012</v>
      </c>
      <c r="G62" s="11">
        <v>929985</v>
      </c>
      <c r="H62" s="11">
        <v>233700</v>
      </c>
    </row>
    <row r="63" spans="1:8" ht="12.5" customHeight="1" x14ac:dyDescent="0.45">
      <c r="A63" s="10" t="s">
        <v>125</v>
      </c>
      <c r="B63" s="11">
        <v>3997400</v>
      </c>
      <c r="C63" s="11">
        <v>0</v>
      </c>
      <c r="D63" s="11">
        <v>1130792</v>
      </c>
      <c r="E63" s="11">
        <v>1046931</v>
      </c>
      <c r="F63" s="11">
        <v>1018092</v>
      </c>
      <c r="G63" s="11">
        <v>801585</v>
      </c>
      <c r="H63" s="11">
        <v>0</v>
      </c>
    </row>
    <row r="64" spans="1:8" ht="12.5" customHeight="1" x14ac:dyDescent="0.45">
      <c r="A64" s="10" t="s">
        <v>128</v>
      </c>
      <c r="B64" s="11">
        <v>1014770</v>
      </c>
      <c r="C64" s="11">
        <v>4500</v>
      </c>
      <c r="D64" s="11">
        <v>216430</v>
      </c>
      <c r="E64" s="11">
        <v>357820</v>
      </c>
      <c r="F64" s="11">
        <v>73920</v>
      </c>
      <c r="G64" s="11">
        <v>128400</v>
      </c>
      <c r="H64" s="11">
        <v>233700</v>
      </c>
    </row>
    <row r="65" spans="1:8" ht="12.5" customHeight="1" x14ac:dyDescent="0.45">
      <c r="A65" s="10" t="s">
        <v>131</v>
      </c>
      <c r="B65" s="11">
        <v>21694657</v>
      </c>
      <c r="C65" s="11">
        <v>0</v>
      </c>
      <c r="D65" s="11">
        <v>8890185</v>
      </c>
      <c r="E65" s="11">
        <v>10174040</v>
      </c>
      <c r="F65" s="11">
        <v>1523892</v>
      </c>
      <c r="G65" s="11">
        <v>1106540</v>
      </c>
      <c r="H65" s="11">
        <v>0</v>
      </c>
    </row>
    <row r="66" spans="1:8" ht="12.5" customHeight="1" x14ac:dyDescent="0.45">
      <c r="A66" s="10" t="s">
        <v>132</v>
      </c>
      <c r="B66" s="11">
        <v>21694657</v>
      </c>
      <c r="C66" s="11">
        <v>0</v>
      </c>
      <c r="D66" s="11">
        <v>8890185</v>
      </c>
      <c r="E66" s="11">
        <v>10174040</v>
      </c>
      <c r="F66" s="11">
        <v>1523892</v>
      </c>
      <c r="G66" s="11">
        <v>1106540</v>
      </c>
      <c r="H66" s="11">
        <v>0</v>
      </c>
    </row>
    <row r="67" spans="1:8" ht="12.5" customHeight="1" x14ac:dyDescent="0.45">
      <c r="A67" s="10" t="s">
        <v>139</v>
      </c>
      <c r="B67" s="11">
        <v>1151159</v>
      </c>
      <c r="C67" s="11">
        <v>683333</v>
      </c>
      <c r="D67" s="11">
        <v>53133</v>
      </c>
      <c r="E67" s="11">
        <v>321062</v>
      </c>
      <c r="F67" s="11">
        <v>0</v>
      </c>
      <c r="G67" s="11">
        <v>93631</v>
      </c>
      <c r="H67" s="11">
        <v>0</v>
      </c>
    </row>
    <row r="68" spans="1:8" ht="12.5" customHeight="1" x14ac:dyDescent="0.45">
      <c r="A68" s="10" t="s">
        <v>140</v>
      </c>
      <c r="B68" s="11">
        <v>140833379</v>
      </c>
      <c r="C68" s="11">
        <v>15014000</v>
      </c>
      <c r="D68" s="11">
        <v>32148492</v>
      </c>
      <c r="E68" s="11">
        <v>34976282</v>
      </c>
      <c r="F68" s="11">
        <v>35316605</v>
      </c>
      <c r="G68" s="11">
        <v>23378000</v>
      </c>
      <c r="H68" s="11">
        <v>0</v>
      </c>
    </row>
    <row r="69" spans="1:8" ht="12.5" customHeight="1" x14ac:dyDescent="0.45">
      <c r="A69" s="10" t="s">
        <v>141</v>
      </c>
      <c r="B69" s="11">
        <v>53460000</v>
      </c>
      <c r="C69" s="11">
        <v>15014000</v>
      </c>
      <c r="D69" s="11">
        <v>2695000</v>
      </c>
      <c r="E69" s="11">
        <v>2695000</v>
      </c>
      <c r="F69" s="11">
        <v>18326000</v>
      </c>
      <c r="G69" s="11">
        <v>14730000</v>
      </c>
      <c r="H69" s="11">
        <v>0</v>
      </c>
    </row>
    <row r="70" spans="1:8" ht="12.5" customHeight="1" x14ac:dyDescent="0.45">
      <c r="A70" s="10" t="s">
        <v>143</v>
      </c>
      <c r="B70" s="11">
        <v>51843220</v>
      </c>
      <c r="C70" s="11">
        <v>0</v>
      </c>
      <c r="D70" s="11">
        <v>12492370</v>
      </c>
      <c r="E70" s="11">
        <v>20171000</v>
      </c>
      <c r="F70" s="11">
        <v>11782850</v>
      </c>
      <c r="G70" s="11">
        <v>7397000</v>
      </c>
      <c r="H70" s="11">
        <v>0</v>
      </c>
    </row>
    <row r="71" spans="1:8" ht="12.5" customHeight="1" x14ac:dyDescent="0.45">
      <c r="A71" s="10" t="s">
        <v>144</v>
      </c>
      <c r="B71" s="11">
        <v>35530159</v>
      </c>
      <c r="C71" s="11">
        <v>0</v>
      </c>
      <c r="D71" s="11">
        <v>16961122</v>
      </c>
      <c r="E71" s="11">
        <v>12110282</v>
      </c>
      <c r="F71" s="11">
        <v>5207755</v>
      </c>
      <c r="G71" s="11">
        <v>1251000</v>
      </c>
      <c r="H71" s="11">
        <v>0</v>
      </c>
    </row>
    <row r="72" spans="1:8" ht="12.5" customHeight="1" x14ac:dyDescent="0.45">
      <c r="A72" s="10" t="s">
        <v>154</v>
      </c>
      <c r="B72" s="11">
        <v>22373408</v>
      </c>
      <c r="C72" s="11">
        <v>1227933</v>
      </c>
      <c r="D72" s="11">
        <v>1169011</v>
      </c>
      <c r="E72" s="11">
        <v>1272856</v>
      </c>
      <c r="F72" s="11">
        <v>8513677</v>
      </c>
      <c r="G72" s="11">
        <v>6010962</v>
      </c>
      <c r="H72" s="11">
        <v>4178969</v>
      </c>
    </row>
    <row r="73" spans="1:8" ht="12.5" customHeight="1" x14ac:dyDescent="0.45">
      <c r="A73" s="10" t="s">
        <v>155</v>
      </c>
      <c r="B73" s="11">
        <v>4482488</v>
      </c>
      <c r="C73" s="11">
        <v>295200</v>
      </c>
      <c r="D73" s="11">
        <v>284350</v>
      </c>
      <c r="E73" s="11">
        <v>375310</v>
      </c>
      <c r="F73" s="11">
        <v>2068458</v>
      </c>
      <c r="G73" s="11">
        <v>1062270</v>
      </c>
      <c r="H73" s="11">
        <v>396900</v>
      </c>
    </row>
    <row r="74" spans="1:8" ht="12.5" customHeight="1" x14ac:dyDescent="0.45">
      <c r="A74" s="10" t="s">
        <v>156</v>
      </c>
      <c r="B74" s="11">
        <v>816800</v>
      </c>
      <c r="C74" s="11">
        <v>816800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</row>
    <row r="75" spans="1:8" ht="12.5" customHeight="1" x14ac:dyDescent="0.45">
      <c r="A75" s="10" t="s">
        <v>157</v>
      </c>
      <c r="B75" s="11">
        <v>4216024</v>
      </c>
      <c r="C75" s="11">
        <v>0</v>
      </c>
      <c r="D75" s="11">
        <v>295000</v>
      </c>
      <c r="E75" s="11">
        <v>240000</v>
      </c>
      <c r="F75" s="11">
        <v>145077</v>
      </c>
      <c r="G75" s="11">
        <v>354210</v>
      </c>
      <c r="H75" s="11">
        <v>3181737</v>
      </c>
    </row>
    <row r="76" spans="1:8" ht="12.5" customHeight="1" x14ac:dyDescent="0.45">
      <c r="A76" s="10" t="s">
        <v>158</v>
      </c>
      <c r="B76" s="11">
        <v>12858096</v>
      </c>
      <c r="C76" s="11">
        <v>115933</v>
      </c>
      <c r="D76" s="11">
        <v>589661</v>
      </c>
      <c r="E76" s="11">
        <v>657546</v>
      </c>
      <c r="F76" s="11">
        <v>6300142</v>
      </c>
      <c r="G76" s="11">
        <v>4594482</v>
      </c>
      <c r="H76" s="11">
        <v>600332</v>
      </c>
    </row>
    <row r="77" spans="1:8" ht="12.5" customHeight="1" x14ac:dyDescent="0.45">
      <c r="A77" s="10" t="s">
        <v>162</v>
      </c>
      <c r="B77" s="11">
        <v>33621545</v>
      </c>
      <c r="C77" s="11">
        <v>0</v>
      </c>
      <c r="D77" s="11">
        <v>7002500</v>
      </c>
      <c r="E77" s="11">
        <v>6953000</v>
      </c>
      <c r="F77" s="11">
        <v>11072227</v>
      </c>
      <c r="G77" s="11">
        <v>8593818</v>
      </c>
      <c r="H77" s="11">
        <v>0</v>
      </c>
    </row>
    <row r="78" spans="1:8" ht="12.5" customHeight="1" x14ac:dyDescent="0.45">
      <c r="A78" s="10" t="s">
        <v>164</v>
      </c>
      <c r="B78" s="11">
        <v>33621545</v>
      </c>
      <c r="C78" s="11">
        <v>0</v>
      </c>
      <c r="D78" s="11">
        <v>7002500</v>
      </c>
      <c r="E78" s="11">
        <v>6953000</v>
      </c>
      <c r="F78" s="11">
        <v>11072227</v>
      </c>
      <c r="G78" s="11">
        <v>8593818</v>
      </c>
      <c r="H78" s="11">
        <v>0</v>
      </c>
    </row>
    <row r="79" spans="1:8" ht="12.5" customHeight="1" x14ac:dyDescent="0.45">
      <c r="A79" s="10" t="s">
        <v>169</v>
      </c>
      <c r="B79" s="11">
        <v>527000</v>
      </c>
      <c r="C79" s="11">
        <v>0</v>
      </c>
      <c r="D79" s="11">
        <v>400000</v>
      </c>
      <c r="E79" s="11">
        <v>114000</v>
      </c>
      <c r="F79" s="11">
        <v>0</v>
      </c>
      <c r="G79" s="11">
        <v>13000</v>
      </c>
      <c r="H79" s="11">
        <v>0</v>
      </c>
    </row>
    <row r="80" spans="1:8" ht="12.5" customHeight="1" x14ac:dyDescent="0.45">
      <c r="A80" s="10" t="s">
        <v>172</v>
      </c>
      <c r="B80" s="11">
        <v>527000</v>
      </c>
      <c r="C80" s="11">
        <v>0</v>
      </c>
      <c r="D80" s="11">
        <v>400000</v>
      </c>
      <c r="E80" s="11">
        <v>114000</v>
      </c>
      <c r="F80" s="11">
        <v>0</v>
      </c>
      <c r="G80" s="11">
        <v>13000</v>
      </c>
      <c r="H80" s="11">
        <v>0</v>
      </c>
    </row>
    <row r="81" spans="1:8" ht="12.5" customHeight="1" x14ac:dyDescent="0.45">
      <c r="A81" s="10" t="s">
        <v>179</v>
      </c>
      <c r="B81" s="11">
        <v>59812921</v>
      </c>
      <c r="C81" s="11">
        <v>6322894</v>
      </c>
      <c r="D81" s="11">
        <v>14121190</v>
      </c>
      <c r="E81" s="11">
        <v>16146759</v>
      </c>
      <c r="F81" s="11">
        <v>11131117</v>
      </c>
      <c r="G81" s="11">
        <v>7203300</v>
      </c>
      <c r="H81" s="11">
        <v>4887661</v>
      </c>
    </row>
    <row r="82" spans="1:8" ht="12.5" customHeight="1" x14ac:dyDescent="0.45">
      <c r="A82" s="10" t="s">
        <v>180</v>
      </c>
      <c r="B82" s="11">
        <v>10718052</v>
      </c>
      <c r="C82" s="11">
        <v>0</v>
      </c>
      <c r="D82" s="11">
        <v>3977515</v>
      </c>
      <c r="E82" s="11">
        <v>3841150</v>
      </c>
      <c r="F82" s="11">
        <v>1448084</v>
      </c>
      <c r="G82" s="11">
        <v>758542</v>
      </c>
      <c r="H82" s="11">
        <v>692761</v>
      </c>
    </row>
    <row r="83" spans="1:8" ht="12.5" customHeight="1" x14ac:dyDescent="0.45">
      <c r="A83" s="10" t="s">
        <v>182</v>
      </c>
      <c r="B83" s="11">
        <v>2284782</v>
      </c>
      <c r="C83" s="11">
        <v>1146326</v>
      </c>
      <c r="D83" s="11">
        <v>399734</v>
      </c>
      <c r="E83" s="11">
        <v>399993</v>
      </c>
      <c r="F83" s="11">
        <v>338729</v>
      </c>
      <c r="G83" s="11">
        <v>0</v>
      </c>
      <c r="H83" s="11">
        <v>0</v>
      </c>
    </row>
    <row r="84" spans="1:8" ht="12.5" customHeight="1" x14ac:dyDescent="0.45">
      <c r="A84" s="10" t="s">
        <v>183</v>
      </c>
      <c r="B84" s="11">
        <v>1606368</v>
      </c>
      <c r="C84" s="11">
        <v>0</v>
      </c>
      <c r="D84" s="11">
        <v>559809</v>
      </c>
      <c r="E84" s="11">
        <v>599645</v>
      </c>
      <c r="F84" s="11">
        <v>297636</v>
      </c>
      <c r="G84" s="11">
        <v>149278</v>
      </c>
      <c r="H84" s="11">
        <v>0</v>
      </c>
    </row>
    <row r="85" spans="1:8" ht="12.5" customHeight="1" x14ac:dyDescent="0.45">
      <c r="A85" s="10" t="s">
        <v>185</v>
      </c>
      <c r="B85" s="11">
        <v>7024878</v>
      </c>
      <c r="C85" s="11">
        <v>0</v>
      </c>
      <c r="D85" s="11">
        <v>819909</v>
      </c>
      <c r="E85" s="11">
        <v>1244381</v>
      </c>
      <c r="F85" s="11">
        <v>3981560</v>
      </c>
      <c r="G85" s="11">
        <v>979028</v>
      </c>
      <c r="H85" s="11">
        <v>0</v>
      </c>
    </row>
    <row r="86" spans="1:8" ht="12.5" customHeight="1" x14ac:dyDescent="0.45">
      <c r="A86" s="10" t="s">
        <v>186</v>
      </c>
      <c r="B86" s="11">
        <v>9647116</v>
      </c>
      <c r="C86" s="11">
        <v>0</v>
      </c>
      <c r="D86" s="11">
        <v>248727</v>
      </c>
      <c r="E86" s="11">
        <v>150055</v>
      </c>
      <c r="F86" s="11">
        <v>5006108</v>
      </c>
      <c r="G86" s="11">
        <v>4242226</v>
      </c>
      <c r="H86" s="11">
        <v>0</v>
      </c>
    </row>
    <row r="87" spans="1:8" ht="12.5" customHeight="1" x14ac:dyDescent="0.45">
      <c r="A87" s="10" t="s">
        <v>187</v>
      </c>
      <c r="B87" s="11">
        <v>28329085</v>
      </c>
      <c r="C87" s="11">
        <v>5176568</v>
      </c>
      <c r="D87" s="11">
        <v>8085948</v>
      </c>
      <c r="E87" s="11">
        <v>9811990</v>
      </c>
      <c r="F87" s="11">
        <v>31818</v>
      </c>
      <c r="G87" s="11">
        <v>1027861</v>
      </c>
      <c r="H87" s="11">
        <v>4194900</v>
      </c>
    </row>
    <row r="88" spans="1:8" ht="12.5" customHeight="1" x14ac:dyDescent="0.45">
      <c r="A88" s="10" t="s">
        <v>189</v>
      </c>
      <c r="B88" s="11">
        <v>202640</v>
      </c>
      <c r="C88" s="11">
        <v>0</v>
      </c>
      <c r="D88" s="11">
        <v>29548</v>
      </c>
      <c r="E88" s="11">
        <v>99545</v>
      </c>
      <c r="F88" s="11">
        <v>27182</v>
      </c>
      <c r="G88" s="11">
        <v>46365</v>
      </c>
      <c r="H88" s="11">
        <v>0</v>
      </c>
    </row>
    <row r="89" spans="1:8" ht="12.5" customHeight="1" x14ac:dyDescent="0.45">
      <c r="A89" s="10" t="s">
        <v>191</v>
      </c>
      <c r="B89" s="11">
        <v>13103374</v>
      </c>
      <c r="C89" s="11">
        <v>105450</v>
      </c>
      <c r="D89" s="11">
        <v>4579551</v>
      </c>
      <c r="E89" s="11">
        <v>6518098</v>
      </c>
      <c r="F89" s="11">
        <v>753091</v>
      </c>
      <c r="G89" s="11">
        <v>809787</v>
      </c>
      <c r="H89" s="11">
        <v>337397</v>
      </c>
    </row>
    <row r="90" spans="1:8" ht="12.5" customHeight="1" x14ac:dyDescent="0.45">
      <c r="A90" s="10" t="s">
        <v>192</v>
      </c>
      <c r="B90" s="11">
        <v>7176200</v>
      </c>
      <c r="C90" s="11">
        <v>105450</v>
      </c>
      <c r="D90" s="11">
        <v>1574690</v>
      </c>
      <c r="E90" s="11">
        <v>4049300</v>
      </c>
      <c r="F90" s="11">
        <v>583545</v>
      </c>
      <c r="G90" s="11">
        <v>606215</v>
      </c>
      <c r="H90" s="11">
        <v>257000</v>
      </c>
    </row>
    <row r="91" spans="1:8" ht="12.5" customHeight="1" x14ac:dyDescent="0.45">
      <c r="A91" s="10" t="s">
        <v>193</v>
      </c>
      <c r="B91" s="11">
        <v>2719836</v>
      </c>
      <c r="C91" s="11">
        <v>0</v>
      </c>
      <c r="D91" s="11">
        <v>1640381</v>
      </c>
      <c r="E91" s="11">
        <v>1079455</v>
      </c>
      <c r="F91" s="11">
        <v>0</v>
      </c>
      <c r="G91" s="11">
        <v>0</v>
      </c>
      <c r="H91" s="11">
        <v>0</v>
      </c>
    </row>
    <row r="92" spans="1:8" ht="12.5" customHeight="1" x14ac:dyDescent="0.45">
      <c r="A92" s="10" t="s">
        <v>194</v>
      </c>
      <c r="B92" s="11">
        <v>3207338</v>
      </c>
      <c r="C92" s="11">
        <v>0</v>
      </c>
      <c r="D92" s="11">
        <v>1364480</v>
      </c>
      <c r="E92" s="11">
        <v>1389343</v>
      </c>
      <c r="F92" s="11">
        <v>169546</v>
      </c>
      <c r="G92" s="11">
        <v>203572</v>
      </c>
      <c r="H92" s="11">
        <v>80397</v>
      </c>
    </row>
    <row r="93" spans="1:8" ht="12.5" customHeight="1" x14ac:dyDescent="0.45">
      <c r="A93" s="10" t="s">
        <v>197</v>
      </c>
      <c r="B93" s="11">
        <v>24369961</v>
      </c>
      <c r="C93" s="11">
        <v>5551400</v>
      </c>
      <c r="D93" s="11">
        <v>12074622</v>
      </c>
      <c r="E93" s="11">
        <v>4541346</v>
      </c>
      <c r="F93" s="11">
        <v>1646193</v>
      </c>
      <c r="G93" s="11">
        <v>556400</v>
      </c>
      <c r="H93" s="11">
        <v>0</v>
      </c>
    </row>
    <row r="94" spans="1:8" ht="12.5" customHeight="1" x14ac:dyDescent="0.45">
      <c r="A94" s="10" t="s">
        <v>202</v>
      </c>
      <c r="B94" s="11">
        <v>5014200</v>
      </c>
      <c r="C94" s="11">
        <v>0</v>
      </c>
      <c r="D94" s="11">
        <v>2193100</v>
      </c>
      <c r="E94" s="11">
        <v>2144000</v>
      </c>
      <c r="F94" s="11">
        <v>376000</v>
      </c>
      <c r="G94" s="11">
        <v>301100</v>
      </c>
      <c r="H94" s="11">
        <v>0</v>
      </c>
    </row>
    <row r="95" spans="1:8" ht="12.5" customHeight="1" x14ac:dyDescent="0.45">
      <c r="A95" s="10" t="s">
        <v>203</v>
      </c>
      <c r="B95" s="11">
        <v>23500</v>
      </c>
      <c r="C95" s="11">
        <v>0</v>
      </c>
      <c r="D95" s="11">
        <v>23500</v>
      </c>
      <c r="E95" s="11">
        <v>0</v>
      </c>
      <c r="F95" s="11">
        <v>0</v>
      </c>
      <c r="G95" s="11">
        <v>0</v>
      </c>
      <c r="H95" s="11">
        <v>0</v>
      </c>
    </row>
    <row r="96" spans="1:8" ht="12.5" customHeight="1" x14ac:dyDescent="0.45">
      <c r="A96" s="10" t="s">
        <v>204</v>
      </c>
      <c r="B96" s="11">
        <v>7540000</v>
      </c>
      <c r="C96" s="11">
        <v>0</v>
      </c>
      <c r="D96" s="11">
        <v>6700000</v>
      </c>
      <c r="E96" s="11">
        <v>0</v>
      </c>
      <c r="F96" s="11">
        <v>840000</v>
      </c>
      <c r="G96" s="11">
        <v>0</v>
      </c>
      <c r="H96" s="11">
        <v>0</v>
      </c>
    </row>
    <row r="97" spans="1:8" ht="12.5" customHeight="1" x14ac:dyDescent="0.45">
      <c r="A97" s="10" t="s">
        <v>205</v>
      </c>
      <c r="B97" s="11">
        <v>6275461</v>
      </c>
      <c r="C97" s="11">
        <v>34600</v>
      </c>
      <c r="D97" s="11">
        <v>3158022</v>
      </c>
      <c r="E97" s="11">
        <v>2397346</v>
      </c>
      <c r="F97" s="11">
        <v>430193</v>
      </c>
      <c r="G97" s="11">
        <v>255300</v>
      </c>
      <c r="H97" s="11">
        <v>0</v>
      </c>
    </row>
    <row r="98" spans="1:8" ht="12.5" customHeight="1" x14ac:dyDescent="0.45">
      <c r="A98" s="10" t="s">
        <v>207</v>
      </c>
      <c r="B98" s="11">
        <v>5516800</v>
      </c>
      <c r="C98" s="11">
        <v>5516800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</row>
    <row r="99" spans="1:8" ht="12.5" customHeight="1" x14ac:dyDescent="0.45">
      <c r="A99" s="10" t="s">
        <v>215</v>
      </c>
      <c r="B99" s="11">
        <v>324952506</v>
      </c>
      <c r="C99" s="11">
        <v>0</v>
      </c>
      <c r="D99" s="11">
        <v>181576516</v>
      </c>
      <c r="E99" s="11">
        <v>110617312</v>
      </c>
      <c r="F99" s="11">
        <v>5695863</v>
      </c>
      <c r="G99" s="11">
        <v>11149380</v>
      </c>
      <c r="H99" s="11">
        <v>15913435</v>
      </c>
    </row>
    <row r="100" spans="1:8" ht="12.5" customHeight="1" x14ac:dyDescent="0.45">
      <c r="A100" s="10" t="s">
        <v>216</v>
      </c>
      <c r="B100" s="11">
        <v>57847190</v>
      </c>
      <c r="C100" s="11">
        <v>0</v>
      </c>
      <c r="D100" s="11">
        <v>30247810</v>
      </c>
      <c r="E100" s="11">
        <v>27599380</v>
      </c>
      <c r="F100" s="11">
        <v>0</v>
      </c>
      <c r="G100" s="11">
        <v>0</v>
      </c>
      <c r="H100" s="11">
        <v>0</v>
      </c>
    </row>
    <row r="101" spans="1:8" ht="12.5" customHeight="1" x14ac:dyDescent="0.45">
      <c r="A101" s="10" t="s">
        <v>219</v>
      </c>
      <c r="B101" s="11">
        <v>2064854</v>
      </c>
      <c r="C101" s="11">
        <v>0</v>
      </c>
      <c r="D101" s="11">
        <v>1480654</v>
      </c>
      <c r="E101" s="11">
        <v>584200</v>
      </c>
      <c r="F101" s="11">
        <v>0</v>
      </c>
      <c r="G101" s="11">
        <v>0</v>
      </c>
      <c r="H101" s="11">
        <v>0</v>
      </c>
    </row>
    <row r="102" spans="1:8" ht="12.5" customHeight="1" x14ac:dyDescent="0.45">
      <c r="A102" s="10" t="s">
        <v>220</v>
      </c>
      <c r="B102" s="11">
        <v>207271000</v>
      </c>
      <c r="C102" s="11">
        <v>0</v>
      </c>
      <c r="D102" s="11">
        <v>134757500</v>
      </c>
      <c r="E102" s="11">
        <v>72513500</v>
      </c>
      <c r="F102" s="11">
        <v>0</v>
      </c>
      <c r="G102" s="11">
        <v>0</v>
      </c>
      <c r="H102" s="11">
        <v>0</v>
      </c>
    </row>
    <row r="103" spans="1:8" ht="12.5" customHeight="1" x14ac:dyDescent="0.45">
      <c r="A103" s="10" t="s">
        <v>221</v>
      </c>
      <c r="B103" s="11">
        <v>16845243</v>
      </c>
      <c r="C103" s="11">
        <v>0</v>
      </c>
      <c r="D103" s="11">
        <v>0</v>
      </c>
      <c r="E103" s="11">
        <v>0</v>
      </c>
      <c r="F103" s="11">
        <v>5695863</v>
      </c>
      <c r="G103" s="11">
        <v>11149380</v>
      </c>
      <c r="H103" s="11">
        <v>0</v>
      </c>
    </row>
    <row r="104" spans="1:8" ht="12.5" customHeight="1" x14ac:dyDescent="0.45">
      <c r="A104" s="10" t="s">
        <v>222</v>
      </c>
      <c r="B104" s="11">
        <v>40924219</v>
      </c>
      <c r="C104" s="11">
        <v>0</v>
      </c>
      <c r="D104" s="11">
        <v>15090552</v>
      </c>
      <c r="E104" s="11">
        <v>9920232</v>
      </c>
      <c r="F104" s="11">
        <v>0</v>
      </c>
      <c r="G104" s="11">
        <v>0</v>
      </c>
      <c r="H104" s="11">
        <v>15913435</v>
      </c>
    </row>
    <row r="105" spans="1:8" ht="12.5" customHeight="1" x14ac:dyDescent="0.45">
      <c r="A105" s="10" t="s">
        <v>227</v>
      </c>
      <c r="B105" s="11">
        <v>130262363</v>
      </c>
      <c r="C105" s="11">
        <v>0</v>
      </c>
      <c r="D105" s="11">
        <v>0</v>
      </c>
      <c r="E105" s="11">
        <v>0</v>
      </c>
      <c r="F105" s="11">
        <v>-293924</v>
      </c>
      <c r="G105" s="11">
        <v>130556287</v>
      </c>
      <c r="H105" s="11">
        <v>0</v>
      </c>
    </row>
    <row r="106" spans="1:8" ht="12.5" customHeight="1" x14ac:dyDescent="0.45">
      <c r="A106" s="10" t="s">
        <v>232</v>
      </c>
      <c r="B106" s="11">
        <v>113300373</v>
      </c>
      <c r="C106" s="11">
        <v>0</v>
      </c>
      <c r="D106" s="11">
        <v>0</v>
      </c>
      <c r="E106" s="11">
        <v>0</v>
      </c>
      <c r="F106" s="11">
        <v>96076</v>
      </c>
      <c r="G106" s="11">
        <v>113204297</v>
      </c>
      <c r="H106" s="11">
        <v>0</v>
      </c>
    </row>
    <row r="107" spans="1:8" ht="12.5" customHeight="1" x14ac:dyDescent="0.45">
      <c r="A107" s="10" t="s">
        <v>235</v>
      </c>
      <c r="B107" s="11">
        <v>16961990</v>
      </c>
      <c r="C107" s="11">
        <v>0</v>
      </c>
      <c r="D107" s="11">
        <v>0</v>
      </c>
      <c r="E107" s="11">
        <v>0</v>
      </c>
      <c r="F107" s="11">
        <v>-390000</v>
      </c>
      <c r="G107" s="11">
        <v>17351990</v>
      </c>
      <c r="H107" s="11">
        <v>0</v>
      </c>
    </row>
    <row r="108" spans="1:8" ht="12.5" customHeight="1" x14ac:dyDescent="0.45">
      <c r="A108" s="10" t="s">
        <v>335</v>
      </c>
      <c r="B108" s="11">
        <v>475814744</v>
      </c>
      <c r="C108" s="11">
        <v>105952196</v>
      </c>
      <c r="D108" s="11">
        <v>240628416</v>
      </c>
      <c r="E108" s="11">
        <v>211427183</v>
      </c>
      <c r="F108" s="11">
        <v>-123239073</v>
      </c>
      <c r="G108" s="11">
        <v>12183444</v>
      </c>
      <c r="H108" s="11">
        <v>28862578</v>
      </c>
    </row>
    <row r="109" spans="1:8" ht="12.5" customHeight="1" x14ac:dyDescent="0.45">
      <c r="A109" s="10" t="s">
        <v>254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</row>
    <row r="110" spans="1:8" ht="12.5" customHeight="1" x14ac:dyDescent="0.45">
      <c r="A110" s="10" t="s">
        <v>255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</row>
    <row r="111" spans="1:8" ht="12.5" customHeight="1" x14ac:dyDescent="0.45">
      <c r="A111" s="10" t="s">
        <v>336</v>
      </c>
      <c r="B111" s="11">
        <v>475814744</v>
      </c>
      <c r="C111" s="11">
        <v>105952196</v>
      </c>
      <c r="D111" s="11">
        <v>240628416</v>
      </c>
      <c r="E111" s="11">
        <v>211427183</v>
      </c>
      <c r="F111" s="11">
        <v>-123239073</v>
      </c>
      <c r="G111" s="11">
        <v>12183444</v>
      </c>
      <c r="H111" s="11">
        <v>28862578</v>
      </c>
    </row>
    <row r="112" spans="1:8" ht="12.5" customHeight="1" x14ac:dyDescent="0.45">
      <c r="A112" s="10" t="s">
        <v>337</v>
      </c>
      <c r="B112" s="11">
        <v>475814744</v>
      </c>
      <c r="C112" s="11">
        <v>105952196</v>
      </c>
      <c r="D112" s="11">
        <v>240628416</v>
      </c>
      <c r="E112" s="11">
        <v>211427183</v>
      </c>
      <c r="F112" s="11">
        <v>-123239073</v>
      </c>
      <c r="G112" s="11">
        <v>12183444</v>
      </c>
      <c r="H112" s="11">
        <v>28862578</v>
      </c>
    </row>
    <row r="113" spans="1:8" ht="12.5" customHeight="1" x14ac:dyDescent="0.45">
      <c r="A113" s="10" t="s">
        <v>258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</row>
    <row r="114" spans="1:8" ht="12.5" customHeight="1" x14ac:dyDescent="0.45">
      <c r="A114" s="10" t="s">
        <v>338</v>
      </c>
      <c r="B114" s="11">
        <v>475814744</v>
      </c>
      <c r="C114" s="11">
        <v>105952196</v>
      </c>
      <c r="D114" s="11">
        <v>240628416</v>
      </c>
      <c r="E114" s="11">
        <v>211427183</v>
      </c>
      <c r="F114" s="11">
        <v>-123239073</v>
      </c>
      <c r="G114" s="11">
        <v>12183444</v>
      </c>
      <c r="H114" s="11">
        <v>28862578</v>
      </c>
    </row>
    <row r="115" spans="1:8" ht="12.5" customHeight="1" x14ac:dyDescent="0.45">
      <c r="A115" s="10" t="s">
        <v>260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</row>
    <row r="116" spans="1:8" ht="12.5" customHeight="1" x14ac:dyDescent="0.45">
      <c r="A116" s="10" t="s">
        <v>339</v>
      </c>
      <c r="B116" s="11">
        <v>475814744</v>
      </c>
      <c r="C116" s="11">
        <v>105952196</v>
      </c>
      <c r="D116" s="11">
        <v>240628416</v>
      </c>
      <c r="E116" s="11">
        <v>211427183</v>
      </c>
      <c r="F116" s="11">
        <v>-123239073</v>
      </c>
      <c r="G116" s="11">
        <v>12183444</v>
      </c>
      <c r="H116" s="11">
        <v>28862578</v>
      </c>
    </row>
    <row r="117" spans="1:8" ht="12.5" customHeight="1" x14ac:dyDescent="0.45">
      <c r="A117" s="10" t="s">
        <v>262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</row>
    <row r="118" spans="1:8" ht="12.5" customHeight="1" x14ac:dyDescent="0.45">
      <c r="A118" s="10" t="s">
        <v>263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</row>
    <row r="119" spans="1:8" ht="12.5" customHeight="1" x14ac:dyDescent="0.45">
      <c r="A119" s="10" t="s">
        <v>264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</row>
    <row r="120" spans="1:8" ht="12.5" customHeight="1" x14ac:dyDescent="0.45">
      <c r="A120" s="10" t="s">
        <v>265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</row>
    <row r="121" spans="1:8" ht="12.5" customHeight="1" x14ac:dyDescent="0.45">
      <c r="A121" s="10" t="s">
        <v>266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33DE-B819-4AA4-A4E0-1586F0005690}">
  <dimension ref="A1:H117"/>
  <sheetViews>
    <sheetView workbookViewId="0">
      <selection sqref="A1:A2"/>
    </sheetView>
  </sheetViews>
  <sheetFormatPr defaultColWidth="8.4140625" defaultRowHeight="12.5" customHeight="1" x14ac:dyDescent="0.45"/>
  <cols>
    <col min="1" max="8" width="19.6640625" style="12" customWidth="1"/>
    <col min="9" max="16384" width="8.4140625" style="12"/>
  </cols>
  <sheetData>
    <row r="1" spans="1:8" ht="12.5" customHeight="1" x14ac:dyDescent="0.45">
      <c r="A1" s="76" t="s">
        <v>0</v>
      </c>
      <c r="B1" s="76" t="s">
        <v>250</v>
      </c>
      <c r="C1" s="9" t="s">
        <v>299</v>
      </c>
      <c r="D1" s="9" t="s">
        <v>300</v>
      </c>
      <c r="E1" s="9" t="s">
        <v>301</v>
      </c>
      <c r="F1" s="9" t="s">
        <v>302</v>
      </c>
      <c r="G1" s="9" t="s">
        <v>303</v>
      </c>
      <c r="H1" s="9" t="s">
        <v>304</v>
      </c>
    </row>
    <row r="2" spans="1:8" ht="12.5" customHeight="1" x14ac:dyDescent="0.45">
      <c r="A2" s="76" t="s">
        <v>0</v>
      </c>
      <c r="B2" s="76" t="s">
        <v>250</v>
      </c>
      <c r="C2" s="9" t="s">
        <v>305</v>
      </c>
      <c r="D2" s="9" t="s">
        <v>306</v>
      </c>
      <c r="E2" s="9" t="s">
        <v>307</v>
      </c>
      <c r="F2" s="9" t="s">
        <v>308</v>
      </c>
      <c r="G2" s="9" t="s">
        <v>309</v>
      </c>
      <c r="H2" s="9" t="s">
        <v>310</v>
      </c>
    </row>
    <row r="3" spans="1:8" ht="12.5" customHeight="1" x14ac:dyDescent="0.45">
      <c r="A3" s="10" t="s">
        <v>251</v>
      </c>
      <c r="B3" s="11">
        <v>-205234722</v>
      </c>
      <c r="C3" s="11">
        <v>-149386965</v>
      </c>
      <c r="D3" s="11">
        <v>-67949461</v>
      </c>
      <c r="E3" s="11">
        <v>-171579590</v>
      </c>
      <c r="F3" s="11">
        <v>162043772</v>
      </c>
      <c r="G3" s="11">
        <v>69265748</v>
      </c>
      <c r="H3" s="11">
        <v>-47628226</v>
      </c>
    </row>
    <row r="4" spans="1:8" ht="12.5" customHeight="1" x14ac:dyDescent="0.45">
      <c r="A4" s="10" t="s">
        <v>1</v>
      </c>
      <c r="B4" s="11">
        <v>4270349969</v>
      </c>
      <c r="C4" s="11">
        <v>20109</v>
      </c>
      <c r="D4" s="11">
        <v>1684437373</v>
      </c>
      <c r="E4" s="11">
        <v>1548817275</v>
      </c>
      <c r="F4" s="11">
        <v>511395365</v>
      </c>
      <c r="G4" s="11">
        <v>334054894</v>
      </c>
      <c r="H4" s="11">
        <v>191624953</v>
      </c>
    </row>
    <row r="5" spans="1:8" ht="12.5" customHeight="1" x14ac:dyDescent="0.45">
      <c r="A5" s="10" t="s">
        <v>2</v>
      </c>
      <c r="B5" s="11">
        <v>1566276870</v>
      </c>
      <c r="C5" s="11">
        <v>0</v>
      </c>
      <c r="D5" s="11">
        <v>774510080</v>
      </c>
      <c r="E5" s="11">
        <v>768044445</v>
      </c>
      <c r="F5" s="11">
        <v>843960</v>
      </c>
      <c r="G5" s="11">
        <v>557567</v>
      </c>
      <c r="H5" s="11">
        <v>22320818</v>
      </c>
    </row>
    <row r="6" spans="1:8" ht="12.5" customHeight="1" x14ac:dyDescent="0.45">
      <c r="A6" s="10" t="s">
        <v>3</v>
      </c>
      <c r="B6" s="11">
        <v>7095182</v>
      </c>
      <c r="C6" s="11">
        <v>0</v>
      </c>
      <c r="D6" s="11">
        <v>859546</v>
      </c>
      <c r="E6" s="11">
        <v>6235636</v>
      </c>
      <c r="F6" s="11">
        <v>0</v>
      </c>
      <c r="G6" s="11">
        <v>0</v>
      </c>
      <c r="H6" s="11">
        <v>0</v>
      </c>
    </row>
    <row r="7" spans="1:8" ht="12.5" customHeight="1" x14ac:dyDescent="0.45">
      <c r="A7" s="10" t="s">
        <v>6</v>
      </c>
      <c r="B7" s="11">
        <v>1465820915</v>
      </c>
      <c r="C7" s="11">
        <v>0</v>
      </c>
      <c r="D7" s="11">
        <v>732048217</v>
      </c>
      <c r="E7" s="11">
        <v>710050353</v>
      </c>
      <c r="F7" s="11">
        <v>843960</v>
      </c>
      <c r="G7" s="11">
        <v>557567</v>
      </c>
      <c r="H7" s="11">
        <v>22320818</v>
      </c>
    </row>
    <row r="8" spans="1:8" ht="12.5" customHeight="1" x14ac:dyDescent="0.45">
      <c r="A8" s="10" t="s">
        <v>7</v>
      </c>
      <c r="B8" s="11">
        <v>37870500</v>
      </c>
      <c r="C8" s="11">
        <v>0</v>
      </c>
      <c r="D8" s="11">
        <v>17599727</v>
      </c>
      <c r="E8" s="11">
        <v>20270773</v>
      </c>
      <c r="F8" s="11">
        <v>0</v>
      </c>
      <c r="G8" s="11">
        <v>0</v>
      </c>
      <c r="H8" s="11">
        <v>0</v>
      </c>
    </row>
    <row r="9" spans="1:8" ht="12.5" customHeight="1" x14ac:dyDescent="0.45">
      <c r="A9" s="10" t="s">
        <v>9</v>
      </c>
      <c r="B9" s="11">
        <v>55490273</v>
      </c>
      <c r="C9" s="11">
        <v>0</v>
      </c>
      <c r="D9" s="11">
        <v>24002590</v>
      </c>
      <c r="E9" s="11">
        <v>31487683</v>
      </c>
      <c r="F9" s="11">
        <v>0</v>
      </c>
      <c r="G9" s="11">
        <v>0</v>
      </c>
      <c r="H9" s="11">
        <v>0</v>
      </c>
    </row>
    <row r="10" spans="1:8" ht="12.5" customHeight="1" x14ac:dyDescent="0.45">
      <c r="A10" s="10" t="s">
        <v>11</v>
      </c>
      <c r="B10" s="11">
        <v>2704073099</v>
      </c>
      <c r="C10" s="11">
        <v>20109</v>
      </c>
      <c r="D10" s="11">
        <v>909927293</v>
      </c>
      <c r="E10" s="11">
        <v>780772830</v>
      </c>
      <c r="F10" s="11">
        <v>510551405</v>
      </c>
      <c r="G10" s="11">
        <v>333497327</v>
      </c>
      <c r="H10" s="11">
        <v>169304135</v>
      </c>
    </row>
    <row r="11" spans="1:8" ht="12.5" customHeight="1" x14ac:dyDescent="0.45">
      <c r="A11" s="10" t="s">
        <v>12</v>
      </c>
      <c r="B11" s="11">
        <v>868910001</v>
      </c>
      <c r="C11" s="11">
        <v>0</v>
      </c>
      <c r="D11" s="11">
        <v>484623208</v>
      </c>
      <c r="E11" s="11">
        <v>385810395</v>
      </c>
      <c r="F11" s="11">
        <v>-7875432</v>
      </c>
      <c r="G11" s="11">
        <v>-2830242</v>
      </c>
      <c r="H11" s="11">
        <v>9182072</v>
      </c>
    </row>
    <row r="12" spans="1:8" ht="12.5" customHeight="1" x14ac:dyDescent="0.45">
      <c r="A12" s="10" t="s">
        <v>13</v>
      </c>
      <c r="B12" s="11">
        <v>2090907</v>
      </c>
      <c r="C12" s="11">
        <v>0</v>
      </c>
      <c r="D12" s="11">
        <v>1636362</v>
      </c>
      <c r="E12" s="11">
        <v>454545</v>
      </c>
      <c r="F12" s="11">
        <v>0</v>
      </c>
      <c r="G12" s="11">
        <v>0</v>
      </c>
      <c r="H12" s="11">
        <v>0</v>
      </c>
    </row>
    <row r="13" spans="1:8" ht="12.5" customHeight="1" x14ac:dyDescent="0.45">
      <c r="A13" s="10" t="s">
        <v>14</v>
      </c>
      <c r="B13" s="11">
        <v>784684138</v>
      </c>
      <c r="C13" s="11">
        <v>20109</v>
      </c>
      <c r="D13" s="11">
        <v>255745563</v>
      </c>
      <c r="E13" s="11">
        <v>227329885</v>
      </c>
      <c r="F13" s="11">
        <v>176010331</v>
      </c>
      <c r="G13" s="11">
        <v>98487598</v>
      </c>
      <c r="H13" s="11">
        <v>27090652</v>
      </c>
    </row>
    <row r="14" spans="1:8" ht="12.5" customHeight="1" x14ac:dyDescent="0.45">
      <c r="A14" s="10" t="s">
        <v>15</v>
      </c>
      <c r="B14" s="11">
        <v>11086918</v>
      </c>
      <c r="C14" s="11">
        <v>0</v>
      </c>
      <c r="D14" s="11">
        <v>5377355</v>
      </c>
      <c r="E14" s="11">
        <v>5702063</v>
      </c>
      <c r="F14" s="11">
        <v>4500</v>
      </c>
      <c r="G14" s="11">
        <v>3000</v>
      </c>
      <c r="H14" s="11">
        <v>0</v>
      </c>
    </row>
    <row r="15" spans="1:8" ht="12.5" customHeight="1" x14ac:dyDescent="0.45">
      <c r="A15" s="10" t="s">
        <v>16</v>
      </c>
      <c r="B15" s="11">
        <v>293917172</v>
      </c>
      <c r="C15" s="11">
        <v>0</v>
      </c>
      <c r="D15" s="11">
        <v>80509140</v>
      </c>
      <c r="E15" s="11">
        <v>81543752</v>
      </c>
      <c r="F15" s="11">
        <v>-496359</v>
      </c>
      <c r="G15" s="11">
        <v>-670772</v>
      </c>
      <c r="H15" s="11">
        <v>133031411</v>
      </c>
    </row>
    <row r="16" spans="1:8" ht="12.5" customHeight="1" x14ac:dyDescent="0.45">
      <c r="A16" s="10" t="s">
        <v>20</v>
      </c>
      <c r="B16" s="11">
        <v>581416108</v>
      </c>
      <c r="C16" s="11">
        <v>0</v>
      </c>
      <c r="D16" s="11">
        <v>0</v>
      </c>
      <c r="E16" s="11">
        <v>0</v>
      </c>
      <c r="F16" s="11">
        <v>342908365</v>
      </c>
      <c r="G16" s="11">
        <v>238507743</v>
      </c>
      <c r="H16" s="11">
        <v>0</v>
      </c>
    </row>
    <row r="17" spans="1:8" ht="12.5" customHeight="1" x14ac:dyDescent="0.45">
      <c r="A17" s="10" t="s">
        <v>21</v>
      </c>
      <c r="B17" s="11">
        <v>161967855</v>
      </c>
      <c r="C17" s="11">
        <v>0</v>
      </c>
      <c r="D17" s="11">
        <v>82035665</v>
      </c>
      <c r="E17" s="11">
        <v>79932190</v>
      </c>
      <c r="F17" s="11">
        <v>0</v>
      </c>
      <c r="G17" s="11">
        <v>0</v>
      </c>
      <c r="H17" s="11">
        <v>0</v>
      </c>
    </row>
    <row r="18" spans="1:8" ht="12.5" customHeight="1" x14ac:dyDescent="0.45">
      <c r="A18" s="10" t="s">
        <v>23</v>
      </c>
      <c r="B18" s="11">
        <v>1877277081</v>
      </c>
      <c r="C18" s="11">
        <v>0</v>
      </c>
      <c r="D18" s="11">
        <v>941323510</v>
      </c>
      <c r="E18" s="11">
        <v>912029844</v>
      </c>
      <c r="F18" s="11">
        <v>0</v>
      </c>
      <c r="G18" s="11">
        <v>0</v>
      </c>
      <c r="H18" s="11">
        <v>23923727</v>
      </c>
    </row>
    <row r="19" spans="1:8" ht="12.5" customHeight="1" x14ac:dyDescent="0.45">
      <c r="A19" s="10" t="s">
        <v>24</v>
      </c>
      <c r="B19" s="11">
        <v>1877277081</v>
      </c>
      <c r="C19" s="11">
        <v>0</v>
      </c>
      <c r="D19" s="11">
        <v>941323510</v>
      </c>
      <c r="E19" s="11">
        <v>912029844</v>
      </c>
      <c r="F19" s="11">
        <v>0</v>
      </c>
      <c r="G19" s="11">
        <v>0</v>
      </c>
      <c r="H19" s="11">
        <v>23923727</v>
      </c>
    </row>
    <row r="20" spans="1:8" ht="12.5" customHeight="1" x14ac:dyDescent="0.45">
      <c r="A20" s="10" t="s">
        <v>25</v>
      </c>
      <c r="B20" s="11">
        <v>2393072888</v>
      </c>
      <c r="C20" s="11">
        <v>20109</v>
      </c>
      <c r="D20" s="11">
        <v>743113863</v>
      </c>
      <c r="E20" s="11">
        <v>636787431</v>
      </c>
      <c r="F20" s="11">
        <v>511395365</v>
      </c>
      <c r="G20" s="11">
        <v>334054894</v>
      </c>
      <c r="H20" s="11">
        <v>167701226</v>
      </c>
    </row>
    <row r="21" spans="1:8" ht="12.5" customHeight="1" x14ac:dyDescent="0.45">
      <c r="A21" s="10" t="s">
        <v>26</v>
      </c>
      <c r="B21" s="11">
        <v>2598307610</v>
      </c>
      <c r="C21" s="11">
        <v>149407074</v>
      </c>
      <c r="D21" s="11">
        <v>811063324</v>
      </c>
      <c r="E21" s="11">
        <v>808367021</v>
      </c>
      <c r="F21" s="11">
        <v>349351593</v>
      </c>
      <c r="G21" s="11">
        <v>264789146</v>
      </c>
      <c r="H21" s="11">
        <v>215329452</v>
      </c>
    </row>
    <row r="22" spans="1:8" ht="12.5" customHeight="1" x14ac:dyDescent="0.45">
      <c r="A22" s="10" t="s">
        <v>27</v>
      </c>
      <c r="B22" s="11">
        <v>11185420</v>
      </c>
      <c r="C22" s="11">
        <v>11185420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</row>
    <row r="23" spans="1:8" ht="12.5" customHeight="1" x14ac:dyDescent="0.45">
      <c r="A23" s="10" t="s">
        <v>28</v>
      </c>
      <c r="B23" s="11">
        <v>1129263090</v>
      </c>
      <c r="C23" s="11">
        <v>39636650</v>
      </c>
      <c r="D23" s="11">
        <v>364692290</v>
      </c>
      <c r="E23" s="11">
        <v>353803350</v>
      </c>
      <c r="F23" s="11">
        <v>147779160</v>
      </c>
      <c r="G23" s="11">
        <v>118878440</v>
      </c>
      <c r="H23" s="11">
        <v>104473200</v>
      </c>
    </row>
    <row r="24" spans="1:8" ht="12.5" customHeight="1" x14ac:dyDescent="0.45">
      <c r="A24" s="10" t="s">
        <v>29</v>
      </c>
      <c r="B24" s="11">
        <v>59978000</v>
      </c>
      <c r="C24" s="11">
        <v>26041260</v>
      </c>
      <c r="D24" s="11">
        <v>7380160</v>
      </c>
      <c r="E24" s="11">
        <v>10210890</v>
      </c>
      <c r="F24" s="11">
        <v>6545400</v>
      </c>
      <c r="G24" s="11">
        <v>9800290</v>
      </c>
      <c r="H24" s="11">
        <v>0</v>
      </c>
    </row>
    <row r="25" spans="1:8" ht="12.5" customHeight="1" x14ac:dyDescent="0.45">
      <c r="A25" s="10" t="s">
        <v>30</v>
      </c>
      <c r="B25" s="11">
        <v>10847600</v>
      </c>
      <c r="C25" s="11">
        <v>4687340</v>
      </c>
      <c r="D25" s="11">
        <v>1421870</v>
      </c>
      <c r="E25" s="11">
        <v>1820030</v>
      </c>
      <c r="F25" s="11">
        <v>1168560</v>
      </c>
      <c r="G25" s="11">
        <v>1749800</v>
      </c>
      <c r="H25" s="11">
        <v>0</v>
      </c>
    </row>
    <row r="26" spans="1:8" ht="12.5" customHeight="1" x14ac:dyDescent="0.45">
      <c r="A26" s="10" t="s">
        <v>31</v>
      </c>
      <c r="B26" s="11">
        <v>1400000</v>
      </c>
      <c r="C26" s="11">
        <v>700000</v>
      </c>
      <c r="D26" s="11">
        <v>700000</v>
      </c>
      <c r="E26" s="11">
        <v>0</v>
      </c>
      <c r="F26" s="11">
        <v>0</v>
      </c>
      <c r="G26" s="11">
        <v>0</v>
      </c>
      <c r="H26" s="11">
        <v>0</v>
      </c>
    </row>
    <row r="27" spans="1:8" ht="12.5" customHeight="1" x14ac:dyDescent="0.45">
      <c r="A27" s="10" t="s">
        <v>33</v>
      </c>
      <c r="B27" s="11">
        <v>2418100</v>
      </c>
      <c r="C27" s="11">
        <v>279070</v>
      </c>
      <c r="D27" s="11">
        <v>415800</v>
      </c>
      <c r="E27" s="11">
        <v>1107430</v>
      </c>
      <c r="F27" s="11">
        <v>356250</v>
      </c>
      <c r="G27" s="11">
        <v>259550</v>
      </c>
      <c r="H27" s="11">
        <v>0</v>
      </c>
    </row>
    <row r="28" spans="1:8" ht="12.5" customHeight="1" x14ac:dyDescent="0.45">
      <c r="A28" s="10" t="s">
        <v>34</v>
      </c>
      <c r="B28" s="11">
        <v>722460</v>
      </c>
      <c r="C28" s="11">
        <v>722460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</row>
    <row r="29" spans="1:8" ht="12.5" customHeight="1" x14ac:dyDescent="0.45">
      <c r="A29" s="10" t="s">
        <v>41</v>
      </c>
      <c r="B29" s="11">
        <v>2480000</v>
      </c>
      <c r="C29" s="11">
        <v>930000</v>
      </c>
      <c r="D29" s="11">
        <v>310000</v>
      </c>
      <c r="E29" s="11">
        <v>465000</v>
      </c>
      <c r="F29" s="11">
        <v>310000</v>
      </c>
      <c r="G29" s="11">
        <v>465000</v>
      </c>
      <c r="H29" s="11">
        <v>0</v>
      </c>
    </row>
    <row r="30" spans="1:8" ht="12.5" customHeight="1" x14ac:dyDescent="0.45">
      <c r="A30" s="10" t="s">
        <v>46</v>
      </c>
      <c r="B30" s="11">
        <v>799588010</v>
      </c>
      <c r="C30" s="11">
        <v>5047170</v>
      </c>
      <c r="D30" s="11">
        <v>275285290</v>
      </c>
      <c r="E30" s="11">
        <v>261959350</v>
      </c>
      <c r="F30" s="11">
        <v>109543180</v>
      </c>
      <c r="G30" s="11">
        <v>82271710</v>
      </c>
      <c r="H30" s="11">
        <v>65481310</v>
      </c>
    </row>
    <row r="31" spans="1:8" ht="12.5" customHeight="1" x14ac:dyDescent="0.45">
      <c r="A31" s="10" t="s">
        <v>47</v>
      </c>
      <c r="B31" s="11">
        <v>136537060</v>
      </c>
      <c r="C31" s="11">
        <v>845880</v>
      </c>
      <c r="D31" s="11">
        <v>47450070</v>
      </c>
      <c r="E31" s="11">
        <v>45174620</v>
      </c>
      <c r="F31" s="11">
        <v>18053870</v>
      </c>
      <c r="G31" s="11">
        <v>13834920</v>
      </c>
      <c r="H31" s="11">
        <v>11177700</v>
      </c>
    </row>
    <row r="32" spans="1:8" ht="12.5" customHeight="1" x14ac:dyDescent="0.45">
      <c r="A32" s="10" t="s">
        <v>48</v>
      </c>
      <c r="B32" s="11">
        <v>26696800</v>
      </c>
      <c r="C32" s="11">
        <v>0</v>
      </c>
      <c r="D32" s="11">
        <v>9345180</v>
      </c>
      <c r="E32" s="11">
        <v>10151620</v>
      </c>
      <c r="F32" s="11">
        <v>3200000</v>
      </c>
      <c r="G32" s="11">
        <v>3200000</v>
      </c>
      <c r="H32" s="11">
        <v>800000</v>
      </c>
    </row>
    <row r="33" spans="1:8" ht="12.5" customHeight="1" x14ac:dyDescent="0.45">
      <c r="A33" s="10" t="s">
        <v>49</v>
      </c>
      <c r="B33" s="11">
        <v>56740000</v>
      </c>
      <c r="C33" s="11">
        <v>310000</v>
      </c>
      <c r="D33" s="11">
        <v>19710000</v>
      </c>
      <c r="E33" s="11">
        <v>18755000</v>
      </c>
      <c r="F33" s="11">
        <v>7635000</v>
      </c>
      <c r="G33" s="11">
        <v>5820000</v>
      </c>
      <c r="H33" s="11">
        <v>4510000</v>
      </c>
    </row>
    <row r="34" spans="1:8" ht="12.5" customHeight="1" x14ac:dyDescent="0.45">
      <c r="A34" s="10" t="s">
        <v>52</v>
      </c>
      <c r="B34" s="11">
        <v>5923470</v>
      </c>
      <c r="C34" s="11">
        <v>0</v>
      </c>
      <c r="D34" s="11">
        <v>1736250</v>
      </c>
      <c r="E34" s="11">
        <v>1598480</v>
      </c>
      <c r="F34" s="11">
        <v>0</v>
      </c>
      <c r="G34" s="11">
        <v>0</v>
      </c>
      <c r="H34" s="11">
        <v>2588740</v>
      </c>
    </row>
    <row r="35" spans="1:8" ht="12.5" customHeight="1" x14ac:dyDescent="0.45">
      <c r="A35" s="10" t="s">
        <v>53</v>
      </c>
      <c r="B35" s="11">
        <v>19915450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19915450</v>
      </c>
    </row>
    <row r="36" spans="1:8" ht="12.5" customHeight="1" x14ac:dyDescent="0.45">
      <c r="A36" s="10" t="s">
        <v>56</v>
      </c>
      <c r="B36" s="11">
        <v>2186140</v>
      </c>
      <c r="C36" s="11">
        <v>73470</v>
      </c>
      <c r="D36" s="11">
        <v>537670</v>
      </c>
      <c r="E36" s="11">
        <v>1060930</v>
      </c>
      <c r="F36" s="11">
        <v>366900</v>
      </c>
      <c r="G36" s="11">
        <v>147170</v>
      </c>
      <c r="H36" s="11">
        <v>0</v>
      </c>
    </row>
    <row r="37" spans="1:8" ht="12.5" customHeight="1" x14ac:dyDescent="0.45">
      <c r="A37" s="10" t="s">
        <v>58</v>
      </c>
      <c r="B37" s="11">
        <v>3830000</v>
      </c>
      <c r="C37" s="11">
        <v>0</v>
      </c>
      <c r="D37" s="11">
        <v>400000</v>
      </c>
      <c r="E37" s="11">
        <v>1500000</v>
      </c>
      <c r="F37" s="11">
        <v>600000</v>
      </c>
      <c r="G37" s="11">
        <v>1330000</v>
      </c>
      <c r="H37" s="11">
        <v>0</v>
      </c>
    </row>
    <row r="38" spans="1:8" ht="12.5" customHeight="1" x14ac:dyDescent="0.45">
      <c r="A38" s="10" t="s">
        <v>61</v>
      </c>
      <c r="B38" s="11">
        <v>383187660</v>
      </c>
      <c r="C38" s="11">
        <v>27647950</v>
      </c>
      <c r="D38" s="11">
        <v>106238680</v>
      </c>
      <c r="E38" s="11">
        <v>123005220</v>
      </c>
      <c r="F38" s="11">
        <v>55071290</v>
      </c>
      <c r="G38" s="11">
        <v>44582120</v>
      </c>
      <c r="H38" s="11">
        <v>26642400</v>
      </c>
    </row>
    <row r="39" spans="1:8" ht="12.5" customHeight="1" x14ac:dyDescent="0.45">
      <c r="A39" s="10" t="s">
        <v>62</v>
      </c>
      <c r="B39" s="11">
        <v>59995880</v>
      </c>
      <c r="C39" s="11">
        <v>26222950</v>
      </c>
      <c r="D39" s="11">
        <v>6477740</v>
      </c>
      <c r="E39" s="11">
        <v>11444280</v>
      </c>
      <c r="F39" s="11">
        <v>6809310</v>
      </c>
      <c r="G39" s="11">
        <v>9041600</v>
      </c>
      <c r="H39" s="11">
        <v>0</v>
      </c>
    </row>
    <row r="40" spans="1:8" ht="12.5" customHeight="1" x14ac:dyDescent="0.45">
      <c r="A40" s="10" t="s">
        <v>66</v>
      </c>
      <c r="B40" s="11">
        <v>321391780</v>
      </c>
      <c r="C40" s="11">
        <v>1425000</v>
      </c>
      <c r="D40" s="11">
        <v>99760940</v>
      </c>
      <c r="E40" s="11">
        <v>111560940</v>
      </c>
      <c r="F40" s="11">
        <v>48261980</v>
      </c>
      <c r="G40" s="11">
        <v>35540520</v>
      </c>
      <c r="H40" s="11">
        <v>24842400</v>
      </c>
    </row>
    <row r="41" spans="1:8" ht="12.5" customHeight="1" x14ac:dyDescent="0.45">
      <c r="A41" s="10" t="s">
        <v>67</v>
      </c>
      <c r="B41" s="11">
        <v>1800000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1800000</v>
      </c>
    </row>
    <row r="42" spans="1:8" ht="12.5" customHeight="1" x14ac:dyDescent="0.45">
      <c r="A42" s="10" t="s">
        <v>69</v>
      </c>
      <c r="B42" s="11">
        <v>125692468</v>
      </c>
      <c r="C42" s="11">
        <v>5246852</v>
      </c>
      <c r="D42" s="11">
        <v>36848444</v>
      </c>
      <c r="E42" s="11">
        <v>39497028</v>
      </c>
      <c r="F42" s="11">
        <v>17181357</v>
      </c>
      <c r="G42" s="11">
        <v>12984278</v>
      </c>
      <c r="H42" s="11">
        <v>13934509</v>
      </c>
    </row>
    <row r="43" spans="1:8" ht="12.5" customHeight="1" x14ac:dyDescent="0.45">
      <c r="A43" s="10" t="s">
        <v>70</v>
      </c>
      <c r="B43" s="11">
        <v>125692468</v>
      </c>
      <c r="C43" s="11">
        <v>5246852</v>
      </c>
      <c r="D43" s="11">
        <v>36848444</v>
      </c>
      <c r="E43" s="11">
        <v>39497028</v>
      </c>
      <c r="F43" s="11">
        <v>17181357</v>
      </c>
      <c r="G43" s="11">
        <v>12984278</v>
      </c>
      <c r="H43" s="11">
        <v>13934509</v>
      </c>
    </row>
    <row r="44" spans="1:8" ht="12.5" customHeight="1" x14ac:dyDescent="0.45">
      <c r="A44" s="10" t="s">
        <v>71</v>
      </c>
      <c r="B44" s="11">
        <v>12500000</v>
      </c>
      <c r="C44" s="11">
        <v>1000000</v>
      </c>
      <c r="D44" s="11">
        <v>3000000</v>
      </c>
      <c r="E44" s="11">
        <v>3500000</v>
      </c>
      <c r="F44" s="11">
        <v>2000000</v>
      </c>
      <c r="G44" s="11">
        <v>1000000</v>
      </c>
      <c r="H44" s="11">
        <v>2000000</v>
      </c>
    </row>
    <row r="45" spans="1:8" ht="12.5" customHeight="1" x14ac:dyDescent="0.45">
      <c r="A45" s="10" t="s">
        <v>252</v>
      </c>
      <c r="B45" s="11">
        <v>12500000</v>
      </c>
      <c r="C45" s="11">
        <v>1000000</v>
      </c>
      <c r="D45" s="11">
        <v>3000000</v>
      </c>
      <c r="E45" s="11">
        <v>3500000</v>
      </c>
      <c r="F45" s="11">
        <v>2000000</v>
      </c>
      <c r="G45" s="11">
        <v>1000000</v>
      </c>
      <c r="H45" s="11">
        <v>2000000</v>
      </c>
    </row>
    <row r="46" spans="1:8" ht="12.5" customHeight="1" x14ac:dyDescent="0.45">
      <c r="A46" s="10" t="s">
        <v>72</v>
      </c>
      <c r="B46" s="11">
        <v>361410566</v>
      </c>
      <c r="C46" s="11">
        <v>7239148</v>
      </c>
      <c r="D46" s="11">
        <v>128001607</v>
      </c>
      <c r="E46" s="11">
        <v>98251498</v>
      </c>
      <c r="F46" s="11">
        <v>51481735</v>
      </c>
      <c r="G46" s="11">
        <v>27768695</v>
      </c>
      <c r="H46" s="11">
        <v>48667883</v>
      </c>
    </row>
    <row r="47" spans="1:8" ht="12.5" customHeight="1" x14ac:dyDescent="0.45">
      <c r="A47" s="10" t="s">
        <v>74</v>
      </c>
      <c r="B47" s="11">
        <v>10836502</v>
      </c>
      <c r="C47" s="11">
        <v>519228</v>
      </c>
      <c r="D47" s="11">
        <v>3439376</v>
      </c>
      <c r="E47" s="11">
        <v>3274082</v>
      </c>
      <c r="F47" s="11">
        <v>1464347</v>
      </c>
      <c r="G47" s="11">
        <v>1094348</v>
      </c>
      <c r="H47" s="11">
        <v>1045121</v>
      </c>
    </row>
    <row r="48" spans="1:8" ht="12.5" customHeight="1" x14ac:dyDescent="0.45">
      <c r="A48" s="10" t="s">
        <v>75</v>
      </c>
      <c r="B48" s="11">
        <v>58881170</v>
      </c>
      <c r="C48" s="11">
        <v>2457910</v>
      </c>
      <c r="D48" s="11">
        <v>17261810</v>
      </c>
      <c r="E48" s="11">
        <v>18502550</v>
      </c>
      <c r="F48" s="11">
        <v>8048680</v>
      </c>
      <c r="G48" s="11">
        <v>6082540</v>
      </c>
      <c r="H48" s="11">
        <v>6527680</v>
      </c>
    </row>
    <row r="49" spans="1:8" ht="12.5" customHeight="1" x14ac:dyDescent="0.45">
      <c r="A49" s="10" t="s">
        <v>76</v>
      </c>
      <c r="B49" s="11">
        <v>57966070</v>
      </c>
      <c r="C49" s="11">
        <v>1960910</v>
      </c>
      <c r="D49" s="11">
        <v>18930200</v>
      </c>
      <c r="E49" s="11">
        <v>18462440</v>
      </c>
      <c r="F49" s="11">
        <v>8106080</v>
      </c>
      <c r="G49" s="11">
        <v>6011460</v>
      </c>
      <c r="H49" s="11">
        <v>4494980</v>
      </c>
    </row>
    <row r="50" spans="1:8" ht="12.5" customHeight="1" x14ac:dyDescent="0.45">
      <c r="A50" s="10" t="s">
        <v>77</v>
      </c>
      <c r="B50" s="11">
        <v>21936895</v>
      </c>
      <c r="C50" s="11">
        <v>1051100</v>
      </c>
      <c r="D50" s="11">
        <v>6962501</v>
      </c>
      <c r="E50" s="11">
        <v>6627899</v>
      </c>
      <c r="F50" s="11">
        <v>2964355</v>
      </c>
      <c r="G50" s="11">
        <v>2215347</v>
      </c>
      <c r="H50" s="11">
        <v>2115693</v>
      </c>
    </row>
    <row r="51" spans="1:8" ht="12.5" customHeight="1" x14ac:dyDescent="0.45">
      <c r="A51" s="10" t="s">
        <v>79</v>
      </c>
      <c r="B51" s="11">
        <v>97069897</v>
      </c>
      <c r="C51" s="11">
        <v>50000</v>
      </c>
      <c r="D51" s="11">
        <v>56811397</v>
      </c>
      <c r="E51" s="11">
        <v>16754500</v>
      </c>
      <c r="F51" s="11">
        <v>16991000</v>
      </c>
      <c r="G51" s="11">
        <v>5447000</v>
      </c>
      <c r="H51" s="11">
        <v>1016000</v>
      </c>
    </row>
    <row r="52" spans="1:8" ht="12.5" customHeight="1" x14ac:dyDescent="0.45">
      <c r="A52" s="10" t="s">
        <v>80</v>
      </c>
      <c r="B52" s="11">
        <v>5220000</v>
      </c>
      <c r="C52" s="11">
        <v>400000</v>
      </c>
      <c r="D52" s="11">
        <v>450000</v>
      </c>
      <c r="E52" s="11">
        <v>1900000</v>
      </c>
      <c r="F52" s="11">
        <v>770000</v>
      </c>
      <c r="G52" s="11">
        <v>1300000</v>
      </c>
      <c r="H52" s="11">
        <v>400000</v>
      </c>
    </row>
    <row r="53" spans="1:8" ht="12.5" customHeight="1" x14ac:dyDescent="0.45">
      <c r="A53" s="10" t="s">
        <v>82</v>
      </c>
      <c r="B53" s="11">
        <v>1883363</v>
      </c>
      <c r="C53" s="11">
        <v>0</v>
      </c>
      <c r="D53" s="11">
        <v>660823</v>
      </c>
      <c r="E53" s="11">
        <v>991358</v>
      </c>
      <c r="F53" s="11">
        <v>167273</v>
      </c>
      <c r="G53" s="11">
        <v>38000</v>
      </c>
      <c r="H53" s="11">
        <v>25909</v>
      </c>
    </row>
    <row r="54" spans="1:8" ht="12.5" customHeight="1" x14ac:dyDescent="0.45">
      <c r="A54" s="10" t="s">
        <v>103</v>
      </c>
      <c r="B54" s="11">
        <v>41600000</v>
      </c>
      <c r="C54" s="11">
        <v>800000</v>
      </c>
      <c r="D54" s="11">
        <v>13300000</v>
      </c>
      <c r="E54" s="11">
        <v>14150000</v>
      </c>
      <c r="F54" s="11">
        <v>5750000</v>
      </c>
      <c r="G54" s="11">
        <v>4100000</v>
      </c>
      <c r="H54" s="11">
        <v>3500000</v>
      </c>
    </row>
    <row r="55" spans="1:8" ht="12.5" customHeight="1" x14ac:dyDescent="0.45">
      <c r="A55" s="10" t="s">
        <v>107</v>
      </c>
      <c r="B55" s="11">
        <v>66016669</v>
      </c>
      <c r="C55" s="11">
        <v>0</v>
      </c>
      <c r="D55" s="11">
        <v>10185500</v>
      </c>
      <c r="E55" s="11">
        <v>17588669</v>
      </c>
      <c r="F55" s="11">
        <v>7220000</v>
      </c>
      <c r="G55" s="11">
        <v>1480000</v>
      </c>
      <c r="H55" s="11">
        <v>29542500</v>
      </c>
    </row>
    <row r="56" spans="1:8" ht="12.5" customHeight="1" x14ac:dyDescent="0.45">
      <c r="A56" s="10" t="s">
        <v>113</v>
      </c>
      <c r="B56" s="11">
        <v>13155250</v>
      </c>
      <c r="C56" s="11">
        <v>414200</v>
      </c>
      <c r="D56" s="11">
        <v>2637900</v>
      </c>
      <c r="E56" s="11">
        <v>5852550</v>
      </c>
      <c r="F56" s="11">
        <v>810600</v>
      </c>
      <c r="G56" s="11">
        <v>2248300</v>
      </c>
      <c r="H56" s="11">
        <v>1191700</v>
      </c>
    </row>
    <row r="57" spans="1:8" ht="12.5" customHeight="1" x14ac:dyDescent="0.45">
      <c r="A57" s="10" t="s">
        <v>115</v>
      </c>
      <c r="B57" s="11">
        <v>224600</v>
      </c>
      <c r="C57" s="11">
        <v>224600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</row>
    <row r="58" spans="1:8" ht="12.5" customHeight="1" x14ac:dyDescent="0.45">
      <c r="A58" s="10" t="s">
        <v>114</v>
      </c>
      <c r="B58" s="11">
        <v>11639650</v>
      </c>
      <c r="C58" s="11">
        <v>189600</v>
      </c>
      <c r="D58" s="11">
        <v>2294900</v>
      </c>
      <c r="E58" s="11">
        <v>5330550</v>
      </c>
      <c r="F58" s="11">
        <v>525600</v>
      </c>
      <c r="G58" s="11">
        <v>2107300</v>
      </c>
      <c r="H58" s="11">
        <v>1191700</v>
      </c>
    </row>
    <row r="59" spans="1:8" ht="12.5" customHeight="1" x14ac:dyDescent="0.45">
      <c r="A59" s="10" t="s">
        <v>117</v>
      </c>
      <c r="B59" s="11">
        <v>1291000</v>
      </c>
      <c r="C59" s="11">
        <v>0</v>
      </c>
      <c r="D59" s="11">
        <v>343000</v>
      </c>
      <c r="E59" s="11">
        <v>522000</v>
      </c>
      <c r="F59" s="11">
        <v>285000</v>
      </c>
      <c r="G59" s="11">
        <v>141000</v>
      </c>
      <c r="H59" s="11">
        <v>0</v>
      </c>
    </row>
    <row r="60" spans="1:8" ht="12.5" customHeight="1" x14ac:dyDescent="0.45">
      <c r="A60" s="10" t="s">
        <v>124</v>
      </c>
      <c r="B60" s="11">
        <v>4933052</v>
      </c>
      <c r="C60" s="11">
        <v>63000</v>
      </c>
      <c r="D60" s="11">
        <v>1230336</v>
      </c>
      <c r="E60" s="11">
        <v>1346180</v>
      </c>
      <c r="F60" s="11">
        <v>904955</v>
      </c>
      <c r="G60" s="11">
        <v>899949</v>
      </c>
      <c r="H60" s="11">
        <v>488632</v>
      </c>
    </row>
    <row r="61" spans="1:8" ht="12.5" customHeight="1" x14ac:dyDescent="0.45">
      <c r="A61" s="10" t="s">
        <v>125</v>
      </c>
      <c r="B61" s="11">
        <v>3260222</v>
      </c>
      <c r="C61" s="11">
        <v>0</v>
      </c>
      <c r="D61" s="11">
        <v>827256</v>
      </c>
      <c r="E61" s="11">
        <v>759330</v>
      </c>
      <c r="F61" s="11">
        <v>833775</v>
      </c>
      <c r="G61" s="11">
        <v>735129</v>
      </c>
      <c r="H61" s="11">
        <v>104732</v>
      </c>
    </row>
    <row r="62" spans="1:8" ht="12.5" customHeight="1" x14ac:dyDescent="0.45">
      <c r="A62" s="10" t="s">
        <v>128</v>
      </c>
      <c r="B62" s="11">
        <v>1672830</v>
      </c>
      <c r="C62" s="11">
        <v>63000</v>
      </c>
      <c r="D62" s="11">
        <v>403080</v>
      </c>
      <c r="E62" s="11">
        <v>586850</v>
      </c>
      <c r="F62" s="11">
        <v>71180</v>
      </c>
      <c r="G62" s="11">
        <v>164820</v>
      </c>
      <c r="H62" s="11">
        <v>383900</v>
      </c>
    </row>
    <row r="63" spans="1:8" ht="12.5" customHeight="1" x14ac:dyDescent="0.45">
      <c r="A63" s="10" t="s">
        <v>131</v>
      </c>
      <c r="B63" s="11">
        <v>18734256</v>
      </c>
      <c r="C63" s="11">
        <v>70310</v>
      </c>
      <c r="D63" s="11">
        <v>5231722</v>
      </c>
      <c r="E63" s="11">
        <v>11716394</v>
      </c>
      <c r="F63" s="11">
        <v>1290614</v>
      </c>
      <c r="G63" s="11">
        <v>425216</v>
      </c>
      <c r="H63" s="11">
        <v>0</v>
      </c>
    </row>
    <row r="64" spans="1:8" ht="12.5" customHeight="1" x14ac:dyDescent="0.45">
      <c r="A64" s="10" t="s">
        <v>132</v>
      </c>
      <c r="B64" s="11">
        <v>18734256</v>
      </c>
      <c r="C64" s="11">
        <v>70310</v>
      </c>
      <c r="D64" s="11">
        <v>5231722</v>
      </c>
      <c r="E64" s="11">
        <v>11716394</v>
      </c>
      <c r="F64" s="11">
        <v>1290614</v>
      </c>
      <c r="G64" s="11">
        <v>425216</v>
      </c>
      <c r="H64" s="11">
        <v>0</v>
      </c>
    </row>
    <row r="65" spans="1:8" ht="12.5" customHeight="1" x14ac:dyDescent="0.45">
      <c r="A65" s="10" t="s">
        <v>139</v>
      </c>
      <c r="B65" s="11">
        <v>2245927</v>
      </c>
      <c r="C65" s="11">
        <v>0</v>
      </c>
      <c r="D65" s="11">
        <v>317982</v>
      </c>
      <c r="E65" s="11">
        <v>564737</v>
      </c>
      <c r="F65" s="11">
        <v>786832</v>
      </c>
      <c r="G65" s="11">
        <v>576376</v>
      </c>
      <c r="H65" s="11">
        <v>0</v>
      </c>
    </row>
    <row r="66" spans="1:8" ht="12.5" customHeight="1" x14ac:dyDescent="0.45">
      <c r="A66" s="10" t="s">
        <v>140</v>
      </c>
      <c r="B66" s="11">
        <v>126518689</v>
      </c>
      <c r="C66" s="11">
        <v>3352790</v>
      </c>
      <c r="D66" s="11">
        <v>38386281</v>
      </c>
      <c r="E66" s="11">
        <v>29986174</v>
      </c>
      <c r="F66" s="11">
        <v>29891642</v>
      </c>
      <c r="G66" s="11">
        <v>23871802</v>
      </c>
      <c r="H66" s="11">
        <v>1030000</v>
      </c>
    </row>
    <row r="67" spans="1:8" ht="12.5" customHeight="1" x14ac:dyDescent="0.45">
      <c r="A67" s="10" t="s">
        <v>141</v>
      </c>
      <c r="B67" s="11">
        <v>34905000</v>
      </c>
      <c r="C67" s="11">
        <v>2358000</v>
      </c>
      <c r="D67" s="11">
        <v>2695000</v>
      </c>
      <c r="E67" s="11">
        <v>2695000</v>
      </c>
      <c r="F67" s="11">
        <v>13682000</v>
      </c>
      <c r="G67" s="11">
        <v>13475000</v>
      </c>
      <c r="H67" s="11">
        <v>0</v>
      </c>
    </row>
    <row r="68" spans="1:8" ht="12.5" customHeight="1" x14ac:dyDescent="0.45">
      <c r="A68" s="10" t="s">
        <v>143</v>
      </c>
      <c r="B68" s="11">
        <v>52254166</v>
      </c>
      <c r="C68" s="11">
        <v>830000</v>
      </c>
      <c r="D68" s="11">
        <v>18676000</v>
      </c>
      <c r="E68" s="11">
        <v>12236364</v>
      </c>
      <c r="F68" s="11">
        <v>12183000</v>
      </c>
      <c r="G68" s="11">
        <v>7298802</v>
      </c>
      <c r="H68" s="11">
        <v>1030000</v>
      </c>
    </row>
    <row r="69" spans="1:8" ht="12.5" customHeight="1" x14ac:dyDescent="0.45">
      <c r="A69" s="10" t="s">
        <v>144</v>
      </c>
      <c r="B69" s="11">
        <v>39359523</v>
      </c>
      <c r="C69" s="11">
        <v>164790</v>
      </c>
      <c r="D69" s="11">
        <v>17015281</v>
      </c>
      <c r="E69" s="11">
        <v>15054810</v>
      </c>
      <c r="F69" s="11">
        <v>4026642</v>
      </c>
      <c r="G69" s="11">
        <v>3098000</v>
      </c>
      <c r="H69" s="11">
        <v>0</v>
      </c>
    </row>
    <row r="70" spans="1:8" ht="12.5" customHeight="1" x14ac:dyDescent="0.45">
      <c r="A70" s="10" t="s">
        <v>154</v>
      </c>
      <c r="B70" s="11">
        <v>26323326</v>
      </c>
      <c r="C70" s="11">
        <v>1448694</v>
      </c>
      <c r="D70" s="11">
        <v>2496232</v>
      </c>
      <c r="E70" s="11">
        <v>1766896</v>
      </c>
      <c r="F70" s="11">
        <v>6450893</v>
      </c>
      <c r="G70" s="11">
        <v>7960159</v>
      </c>
      <c r="H70" s="11">
        <v>6200452</v>
      </c>
    </row>
    <row r="71" spans="1:8" ht="12.5" customHeight="1" x14ac:dyDescent="0.45">
      <c r="A71" s="10" t="s">
        <v>155</v>
      </c>
      <c r="B71" s="11">
        <v>6297627</v>
      </c>
      <c r="C71" s="11">
        <v>348400</v>
      </c>
      <c r="D71" s="11">
        <v>934750</v>
      </c>
      <c r="E71" s="11">
        <v>402850</v>
      </c>
      <c r="F71" s="11">
        <v>1277650</v>
      </c>
      <c r="G71" s="11">
        <v>1980077</v>
      </c>
      <c r="H71" s="11">
        <v>1353900</v>
      </c>
    </row>
    <row r="72" spans="1:8" ht="12.5" customHeight="1" x14ac:dyDescent="0.45">
      <c r="A72" s="10" t="s">
        <v>156</v>
      </c>
      <c r="B72" s="11">
        <v>756000</v>
      </c>
      <c r="C72" s="11">
        <v>756000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</row>
    <row r="73" spans="1:8" ht="12.5" customHeight="1" x14ac:dyDescent="0.45">
      <c r="A73" s="10" t="s">
        <v>157</v>
      </c>
      <c r="B73" s="11">
        <v>6395368</v>
      </c>
      <c r="C73" s="11">
        <v>150000</v>
      </c>
      <c r="D73" s="11">
        <v>639125</v>
      </c>
      <c r="E73" s="11">
        <v>408000</v>
      </c>
      <c r="F73" s="11">
        <v>201000</v>
      </c>
      <c r="G73" s="11">
        <v>543000</v>
      </c>
      <c r="H73" s="11">
        <v>4454243</v>
      </c>
    </row>
    <row r="74" spans="1:8" ht="12.5" customHeight="1" x14ac:dyDescent="0.45">
      <c r="A74" s="10" t="s">
        <v>158</v>
      </c>
      <c r="B74" s="11">
        <v>12874331</v>
      </c>
      <c r="C74" s="11">
        <v>194294</v>
      </c>
      <c r="D74" s="11">
        <v>922357</v>
      </c>
      <c r="E74" s="11">
        <v>956046</v>
      </c>
      <c r="F74" s="11">
        <v>4972243</v>
      </c>
      <c r="G74" s="11">
        <v>5437082</v>
      </c>
      <c r="H74" s="11">
        <v>392309</v>
      </c>
    </row>
    <row r="75" spans="1:8" ht="12.5" customHeight="1" x14ac:dyDescent="0.45">
      <c r="A75" s="10" t="s">
        <v>162</v>
      </c>
      <c r="B75" s="11">
        <v>35376100</v>
      </c>
      <c r="C75" s="11">
        <v>0</v>
      </c>
      <c r="D75" s="11">
        <v>6298600</v>
      </c>
      <c r="E75" s="11">
        <v>6190000</v>
      </c>
      <c r="F75" s="11">
        <v>15861500</v>
      </c>
      <c r="G75" s="11">
        <v>7026000</v>
      </c>
      <c r="H75" s="11">
        <v>0</v>
      </c>
    </row>
    <row r="76" spans="1:8" ht="12.5" customHeight="1" x14ac:dyDescent="0.45">
      <c r="A76" s="10" t="s">
        <v>164</v>
      </c>
      <c r="B76" s="11">
        <v>35376100</v>
      </c>
      <c r="C76" s="11">
        <v>0</v>
      </c>
      <c r="D76" s="11">
        <v>6298600</v>
      </c>
      <c r="E76" s="11">
        <v>6190000</v>
      </c>
      <c r="F76" s="11">
        <v>15861500</v>
      </c>
      <c r="G76" s="11">
        <v>7026000</v>
      </c>
      <c r="H76" s="11">
        <v>0</v>
      </c>
    </row>
    <row r="77" spans="1:8" ht="12.5" customHeight="1" x14ac:dyDescent="0.45">
      <c r="A77" s="10" t="s">
        <v>169</v>
      </c>
      <c r="B77" s="11">
        <v>217091</v>
      </c>
      <c r="C77" s="11">
        <v>80000</v>
      </c>
      <c r="D77" s="11">
        <v>0</v>
      </c>
      <c r="E77" s="11">
        <v>137091</v>
      </c>
      <c r="F77" s="11">
        <v>0</v>
      </c>
      <c r="G77" s="11">
        <v>0</v>
      </c>
      <c r="H77" s="11">
        <v>0</v>
      </c>
    </row>
    <row r="78" spans="1:8" ht="12.5" customHeight="1" x14ac:dyDescent="0.45">
      <c r="A78" s="10" t="s">
        <v>172</v>
      </c>
      <c r="B78" s="11">
        <v>217091</v>
      </c>
      <c r="C78" s="11">
        <v>80000</v>
      </c>
      <c r="D78" s="11">
        <v>0</v>
      </c>
      <c r="E78" s="11">
        <v>137091</v>
      </c>
      <c r="F78" s="11">
        <v>0</v>
      </c>
      <c r="G78" s="11">
        <v>0</v>
      </c>
      <c r="H78" s="11">
        <v>0</v>
      </c>
    </row>
    <row r="79" spans="1:8" ht="12.5" customHeight="1" x14ac:dyDescent="0.45">
      <c r="A79" s="10" t="s">
        <v>179</v>
      </c>
      <c r="B79" s="11">
        <v>61887424</v>
      </c>
      <c r="C79" s="11">
        <v>6132838</v>
      </c>
      <c r="D79" s="11">
        <v>21089705</v>
      </c>
      <c r="E79" s="11">
        <v>16778147</v>
      </c>
      <c r="F79" s="11">
        <v>6554931</v>
      </c>
      <c r="G79" s="11">
        <v>3997772</v>
      </c>
      <c r="H79" s="11">
        <v>7334031</v>
      </c>
    </row>
    <row r="80" spans="1:8" ht="12.5" customHeight="1" x14ac:dyDescent="0.45">
      <c r="A80" s="10" t="s">
        <v>180</v>
      </c>
      <c r="B80" s="11">
        <v>9804146</v>
      </c>
      <c r="C80" s="11">
        <v>0</v>
      </c>
      <c r="D80" s="11">
        <v>3565994</v>
      </c>
      <c r="E80" s="11">
        <v>3798134</v>
      </c>
      <c r="F80" s="11">
        <v>1141474</v>
      </c>
      <c r="G80" s="11">
        <v>926221</v>
      </c>
      <c r="H80" s="11">
        <v>372323</v>
      </c>
    </row>
    <row r="81" spans="1:8" ht="12.5" customHeight="1" x14ac:dyDescent="0.45">
      <c r="A81" s="10" t="s">
        <v>182</v>
      </c>
      <c r="B81" s="11">
        <v>2288900</v>
      </c>
      <c r="C81" s="11">
        <v>1338840</v>
      </c>
      <c r="D81" s="11">
        <v>330909</v>
      </c>
      <c r="E81" s="11">
        <v>0</v>
      </c>
      <c r="F81" s="11">
        <v>299333</v>
      </c>
      <c r="G81" s="11">
        <v>319818</v>
      </c>
      <c r="H81" s="11">
        <v>0</v>
      </c>
    </row>
    <row r="82" spans="1:8" ht="12.5" customHeight="1" x14ac:dyDescent="0.45">
      <c r="A82" s="10" t="s">
        <v>183</v>
      </c>
      <c r="B82" s="11">
        <v>1581970</v>
      </c>
      <c r="C82" s="11">
        <v>0</v>
      </c>
      <c r="D82" s="11">
        <v>741776</v>
      </c>
      <c r="E82" s="11">
        <v>548279</v>
      </c>
      <c r="F82" s="11">
        <v>142639</v>
      </c>
      <c r="G82" s="11">
        <v>149276</v>
      </c>
      <c r="H82" s="11">
        <v>0</v>
      </c>
    </row>
    <row r="83" spans="1:8" ht="12.5" customHeight="1" x14ac:dyDescent="0.45">
      <c r="A83" s="10" t="s">
        <v>185</v>
      </c>
      <c r="B83" s="11">
        <v>3623069</v>
      </c>
      <c r="C83" s="11">
        <v>0</v>
      </c>
      <c r="D83" s="11">
        <v>0</v>
      </c>
      <c r="E83" s="11">
        <v>1364185</v>
      </c>
      <c r="F83" s="11">
        <v>762195</v>
      </c>
      <c r="G83" s="11">
        <v>0</v>
      </c>
      <c r="H83" s="11">
        <v>1496689</v>
      </c>
    </row>
    <row r="84" spans="1:8" ht="12.5" customHeight="1" x14ac:dyDescent="0.45">
      <c r="A84" s="10" t="s">
        <v>186</v>
      </c>
      <c r="B84" s="11">
        <v>9798199</v>
      </c>
      <c r="C84" s="11">
        <v>1634837</v>
      </c>
      <c r="D84" s="11">
        <v>1549343</v>
      </c>
      <c r="E84" s="11">
        <v>0</v>
      </c>
      <c r="F84" s="11">
        <v>4111108</v>
      </c>
      <c r="G84" s="11">
        <v>2502911</v>
      </c>
      <c r="H84" s="11">
        <v>0</v>
      </c>
    </row>
    <row r="85" spans="1:8" ht="12.5" customHeight="1" x14ac:dyDescent="0.45">
      <c r="A85" s="10" t="s">
        <v>187</v>
      </c>
      <c r="B85" s="11">
        <v>34302139</v>
      </c>
      <c r="C85" s="11">
        <v>3159161</v>
      </c>
      <c r="D85" s="11">
        <v>14701683</v>
      </c>
      <c r="E85" s="11">
        <v>10976276</v>
      </c>
      <c r="F85" s="11">
        <v>0</v>
      </c>
      <c r="G85" s="11">
        <v>0</v>
      </c>
      <c r="H85" s="11">
        <v>5465019</v>
      </c>
    </row>
    <row r="86" spans="1:8" ht="12.5" customHeight="1" x14ac:dyDescent="0.45">
      <c r="A86" s="10" t="s">
        <v>189</v>
      </c>
      <c r="B86" s="11">
        <v>489001</v>
      </c>
      <c r="C86" s="11">
        <v>0</v>
      </c>
      <c r="D86" s="11">
        <v>200000</v>
      </c>
      <c r="E86" s="11">
        <v>91273</v>
      </c>
      <c r="F86" s="11">
        <v>98182</v>
      </c>
      <c r="G86" s="11">
        <v>99546</v>
      </c>
      <c r="H86" s="11">
        <v>0</v>
      </c>
    </row>
    <row r="87" spans="1:8" ht="12.5" customHeight="1" x14ac:dyDescent="0.45">
      <c r="A87" s="10" t="s">
        <v>191</v>
      </c>
      <c r="B87" s="11">
        <v>10097329</v>
      </c>
      <c r="C87" s="11">
        <v>118022</v>
      </c>
      <c r="D87" s="11">
        <v>4025457</v>
      </c>
      <c r="E87" s="11">
        <v>4116515</v>
      </c>
      <c r="F87" s="11">
        <v>319687</v>
      </c>
      <c r="G87" s="11">
        <v>474263</v>
      </c>
      <c r="H87" s="11">
        <v>1043385</v>
      </c>
    </row>
    <row r="88" spans="1:8" ht="12.5" customHeight="1" x14ac:dyDescent="0.45">
      <c r="A88" s="10" t="s">
        <v>192</v>
      </c>
      <c r="B88" s="11">
        <v>4800305</v>
      </c>
      <c r="C88" s="11">
        <v>10430</v>
      </c>
      <c r="D88" s="11">
        <v>1395980</v>
      </c>
      <c r="E88" s="11">
        <v>1758880</v>
      </c>
      <c r="F88" s="11">
        <v>223550</v>
      </c>
      <c r="G88" s="11">
        <v>373535</v>
      </c>
      <c r="H88" s="11">
        <v>1037930</v>
      </c>
    </row>
    <row r="89" spans="1:8" ht="12.5" customHeight="1" x14ac:dyDescent="0.45">
      <c r="A89" s="10" t="s">
        <v>193</v>
      </c>
      <c r="B89" s="11">
        <v>2566032</v>
      </c>
      <c r="C89" s="11">
        <v>0</v>
      </c>
      <c r="D89" s="11">
        <v>1402940</v>
      </c>
      <c r="E89" s="11">
        <v>1163092</v>
      </c>
      <c r="F89" s="11">
        <v>0</v>
      </c>
      <c r="G89" s="11">
        <v>0</v>
      </c>
      <c r="H89" s="11">
        <v>0</v>
      </c>
    </row>
    <row r="90" spans="1:8" ht="12.5" customHeight="1" x14ac:dyDescent="0.45">
      <c r="A90" s="10" t="s">
        <v>194</v>
      </c>
      <c r="B90" s="11">
        <v>2730992</v>
      </c>
      <c r="C90" s="11">
        <v>107592</v>
      </c>
      <c r="D90" s="11">
        <v>1226537</v>
      </c>
      <c r="E90" s="11">
        <v>1194543</v>
      </c>
      <c r="F90" s="11">
        <v>96137</v>
      </c>
      <c r="G90" s="11">
        <v>100728</v>
      </c>
      <c r="H90" s="11">
        <v>5455</v>
      </c>
    </row>
    <row r="91" spans="1:8" ht="12.5" customHeight="1" x14ac:dyDescent="0.45">
      <c r="A91" s="10" t="s">
        <v>197</v>
      </c>
      <c r="B91" s="11">
        <v>16424098</v>
      </c>
      <c r="C91" s="11">
        <v>5220800</v>
      </c>
      <c r="D91" s="11">
        <v>4345512</v>
      </c>
      <c r="E91" s="11">
        <v>4748102</v>
      </c>
      <c r="F91" s="11">
        <v>605000</v>
      </c>
      <c r="G91" s="11">
        <v>594800</v>
      </c>
      <c r="H91" s="11">
        <v>909884</v>
      </c>
    </row>
    <row r="92" spans="1:8" ht="12.5" customHeight="1" x14ac:dyDescent="0.45">
      <c r="A92" s="10" t="s">
        <v>202</v>
      </c>
      <c r="B92" s="11">
        <v>5179001</v>
      </c>
      <c r="C92" s="11">
        <v>0</v>
      </c>
      <c r="D92" s="11">
        <v>2200001</v>
      </c>
      <c r="E92" s="11">
        <v>1976000</v>
      </c>
      <c r="F92" s="11">
        <v>407000</v>
      </c>
      <c r="G92" s="11">
        <v>391000</v>
      </c>
      <c r="H92" s="11">
        <v>205000</v>
      </c>
    </row>
    <row r="93" spans="1:8" ht="12.5" customHeight="1" x14ac:dyDescent="0.45">
      <c r="A93" s="10" t="s">
        <v>205</v>
      </c>
      <c r="B93" s="11">
        <v>6058897</v>
      </c>
      <c r="C93" s="11">
        <v>34600</v>
      </c>
      <c r="D93" s="11">
        <v>2145511</v>
      </c>
      <c r="E93" s="11">
        <v>2772102</v>
      </c>
      <c r="F93" s="11">
        <v>198000</v>
      </c>
      <c r="G93" s="11">
        <v>203800</v>
      </c>
      <c r="H93" s="11">
        <v>704884</v>
      </c>
    </row>
    <row r="94" spans="1:8" ht="12.5" customHeight="1" x14ac:dyDescent="0.45">
      <c r="A94" s="10" t="s">
        <v>207</v>
      </c>
      <c r="B94" s="11">
        <v>5186200</v>
      </c>
      <c r="C94" s="11">
        <v>5186200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</row>
    <row r="95" spans="1:8" ht="12.5" customHeight="1" x14ac:dyDescent="0.45">
      <c r="A95" s="10" t="s">
        <v>215</v>
      </c>
      <c r="B95" s="11">
        <v>254306589</v>
      </c>
      <c r="C95" s="11">
        <v>40550400</v>
      </c>
      <c r="D95" s="11">
        <v>86222576</v>
      </c>
      <c r="E95" s="11">
        <v>107107139</v>
      </c>
      <c r="F95" s="11">
        <v>7925637</v>
      </c>
      <c r="G95" s="11">
        <v>11087461</v>
      </c>
      <c r="H95" s="11">
        <v>1413376</v>
      </c>
    </row>
    <row r="96" spans="1:8" ht="12.5" customHeight="1" x14ac:dyDescent="0.45">
      <c r="A96" s="10" t="s">
        <v>216</v>
      </c>
      <c r="B96" s="11">
        <v>55551650</v>
      </c>
      <c r="C96" s="11">
        <v>0</v>
      </c>
      <c r="D96" s="11">
        <v>25309830</v>
      </c>
      <c r="E96" s="11">
        <v>30241820</v>
      </c>
      <c r="F96" s="11">
        <v>0</v>
      </c>
      <c r="G96" s="11">
        <v>0</v>
      </c>
      <c r="H96" s="11">
        <v>0</v>
      </c>
    </row>
    <row r="97" spans="1:8" ht="12.5" customHeight="1" x14ac:dyDescent="0.45">
      <c r="A97" s="10" t="s">
        <v>219</v>
      </c>
      <c r="B97" s="11">
        <v>207840</v>
      </c>
      <c r="C97" s="11">
        <v>0</v>
      </c>
      <c r="D97" s="11">
        <v>0</v>
      </c>
      <c r="E97" s="11">
        <v>207840</v>
      </c>
      <c r="F97" s="11">
        <v>0</v>
      </c>
      <c r="G97" s="11">
        <v>0</v>
      </c>
      <c r="H97" s="11">
        <v>0</v>
      </c>
    </row>
    <row r="98" spans="1:8" ht="12.5" customHeight="1" x14ac:dyDescent="0.45">
      <c r="A98" s="10" t="s">
        <v>220</v>
      </c>
      <c r="B98" s="11">
        <v>104462000</v>
      </c>
      <c r="C98" s="11">
        <v>0</v>
      </c>
      <c r="D98" s="11">
        <v>41572000</v>
      </c>
      <c r="E98" s="11">
        <v>62890000</v>
      </c>
      <c r="F98" s="11">
        <v>0</v>
      </c>
      <c r="G98" s="11">
        <v>0</v>
      </c>
      <c r="H98" s="11">
        <v>0</v>
      </c>
    </row>
    <row r="99" spans="1:8" ht="12.5" customHeight="1" x14ac:dyDescent="0.45">
      <c r="A99" s="10" t="s">
        <v>221</v>
      </c>
      <c r="B99" s="11">
        <v>19013098</v>
      </c>
      <c r="C99" s="11">
        <v>0</v>
      </c>
      <c r="D99" s="11">
        <v>0</v>
      </c>
      <c r="E99" s="11">
        <v>0</v>
      </c>
      <c r="F99" s="11">
        <v>7925637</v>
      </c>
      <c r="G99" s="11">
        <v>11087461</v>
      </c>
      <c r="H99" s="11">
        <v>0</v>
      </c>
    </row>
    <row r="100" spans="1:8" ht="12.5" customHeight="1" x14ac:dyDescent="0.45">
      <c r="A100" s="10" t="s">
        <v>222</v>
      </c>
      <c r="B100" s="11">
        <v>75072001</v>
      </c>
      <c r="C100" s="11">
        <v>40550400</v>
      </c>
      <c r="D100" s="11">
        <v>19340746</v>
      </c>
      <c r="E100" s="11">
        <v>13767479</v>
      </c>
      <c r="F100" s="11">
        <v>0</v>
      </c>
      <c r="G100" s="11">
        <v>0</v>
      </c>
      <c r="H100" s="11">
        <v>1413376</v>
      </c>
    </row>
    <row r="101" spans="1:8" ht="12.5" customHeight="1" x14ac:dyDescent="0.45">
      <c r="A101" s="10" t="s">
        <v>227</v>
      </c>
      <c r="B101" s="11">
        <v>4849275</v>
      </c>
      <c r="C101" s="11">
        <v>0</v>
      </c>
      <c r="D101" s="11">
        <v>0</v>
      </c>
      <c r="E101" s="11">
        <v>0</v>
      </c>
      <c r="F101" s="11">
        <v>4435760</v>
      </c>
      <c r="G101" s="11">
        <v>413515</v>
      </c>
      <c r="H101" s="11">
        <v>0</v>
      </c>
    </row>
    <row r="102" spans="1:8" ht="12.5" customHeight="1" x14ac:dyDescent="0.45">
      <c r="A102" s="10" t="s">
        <v>232</v>
      </c>
      <c r="B102" s="11">
        <v>4867457</v>
      </c>
      <c r="C102" s="11">
        <v>0</v>
      </c>
      <c r="D102" s="11">
        <v>0</v>
      </c>
      <c r="E102" s="11">
        <v>0</v>
      </c>
      <c r="F102" s="11">
        <v>4435760</v>
      </c>
      <c r="G102" s="11">
        <v>431697</v>
      </c>
      <c r="H102" s="11">
        <v>0</v>
      </c>
    </row>
    <row r="103" spans="1:8" ht="12.5" customHeight="1" x14ac:dyDescent="0.45">
      <c r="A103" s="10" t="s">
        <v>235</v>
      </c>
      <c r="B103" s="11">
        <v>-18182</v>
      </c>
      <c r="C103" s="11">
        <v>0</v>
      </c>
      <c r="D103" s="11">
        <v>0</v>
      </c>
      <c r="E103" s="11">
        <v>0</v>
      </c>
      <c r="F103" s="11">
        <v>0</v>
      </c>
      <c r="G103" s="11">
        <v>-18182</v>
      </c>
      <c r="H103" s="11">
        <v>0</v>
      </c>
    </row>
    <row r="104" spans="1:8" ht="12.5" customHeight="1" x14ac:dyDescent="0.45">
      <c r="A104" s="10" t="s">
        <v>335</v>
      </c>
      <c r="B104" s="11">
        <v>205234722</v>
      </c>
      <c r="C104" s="11">
        <v>149386965</v>
      </c>
      <c r="D104" s="11">
        <v>67949461</v>
      </c>
      <c r="E104" s="11">
        <v>171579590</v>
      </c>
      <c r="F104" s="11">
        <v>-162043772</v>
      </c>
      <c r="G104" s="11">
        <v>-69265748</v>
      </c>
      <c r="H104" s="11">
        <v>47628226</v>
      </c>
    </row>
    <row r="105" spans="1:8" ht="12.5" customHeight="1" x14ac:dyDescent="0.45">
      <c r="A105" s="10" t="s">
        <v>254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</row>
    <row r="106" spans="1:8" ht="12.5" customHeight="1" x14ac:dyDescent="0.45">
      <c r="A106" s="10" t="s">
        <v>255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</row>
    <row r="107" spans="1:8" ht="12.5" customHeight="1" x14ac:dyDescent="0.45">
      <c r="A107" s="10" t="s">
        <v>336</v>
      </c>
      <c r="B107" s="11">
        <v>205234722</v>
      </c>
      <c r="C107" s="11">
        <v>149386965</v>
      </c>
      <c r="D107" s="11">
        <v>67949461</v>
      </c>
      <c r="E107" s="11">
        <v>171579590</v>
      </c>
      <c r="F107" s="11">
        <v>-162043772</v>
      </c>
      <c r="G107" s="11">
        <v>-69265748</v>
      </c>
      <c r="H107" s="11">
        <v>47628226</v>
      </c>
    </row>
    <row r="108" spans="1:8" ht="12.5" customHeight="1" x14ac:dyDescent="0.45">
      <c r="A108" s="10" t="s">
        <v>337</v>
      </c>
      <c r="B108" s="11">
        <v>205234722</v>
      </c>
      <c r="C108" s="11">
        <v>149386965</v>
      </c>
      <c r="D108" s="11">
        <v>67949461</v>
      </c>
      <c r="E108" s="11">
        <v>171579590</v>
      </c>
      <c r="F108" s="11">
        <v>-162043772</v>
      </c>
      <c r="G108" s="11">
        <v>-69265748</v>
      </c>
      <c r="H108" s="11">
        <v>47628226</v>
      </c>
    </row>
    <row r="109" spans="1:8" ht="12.5" customHeight="1" x14ac:dyDescent="0.45">
      <c r="A109" s="10" t="s">
        <v>258</v>
      </c>
      <c r="B109" s="11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</row>
    <row r="110" spans="1:8" ht="12.5" customHeight="1" x14ac:dyDescent="0.45">
      <c r="A110" s="10" t="s">
        <v>338</v>
      </c>
      <c r="B110" s="11">
        <v>205234722</v>
      </c>
      <c r="C110" s="11">
        <v>149386965</v>
      </c>
      <c r="D110" s="11">
        <v>67949461</v>
      </c>
      <c r="E110" s="11">
        <v>171579590</v>
      </c>
      <c r="F110" s="11">
        <v>-162043772</v>
      </c>
      <c r="G110" s="11">
        <v>-69265748</v>
      </c>
      <c r="H110" s="11">
        <v>47628226</v>
      </c>
    </row>
    <row r="111" spans="1:8" ht="12.5" customHeight="1" x14ac:dyDescent="0.45">
      <c r="A111" s="10" t="s">
        <v>260</v>
      </c>
      <c r="B111" s="11">
        <v>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</row>
    <row r="112" spans="1:8" ht="12.5" customHeight="1" x14ac:dyDescent="0.45">
      <c r="A112" s="10" t="s">
        <v>339</v>
      </c>
      <c r="B112" s="11">
        <v>205234722</v>
      </c>
      <c r="C112" s="11">
        <v>149386965</v>
      </c>
      <c r="D112" s="11">
        <v>67949461</v>
      </c>
      <c r="E112" s="11">
        <v>171579590</v>
      </c>
      <c r="F112" s="11">
        <v>-162043772</v>
      </c>
      <c r="G112" s="11">
        <v>-69265748</v>
      </c>
      <c r="H112" s="11">
        <v>47628226</v>
      </c>
    </row>
    <row r="113" spans="1:8" ht="12.5" customHeight="1" x14ac:dyDescent="0.45">
      <c r="A113" s="10" t="s">
        <v>262</v>
      </c>
      <c r="B113" s="11">
        <v>0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</row>
    <row r="114" spans="1:8" ht="12.5" customHeight="1" x14ac:dyDescent="0.45">
      <c r="A114" s="10" t="s">
        <v>263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</row>
    <row r="115" spans="1:8" ht="12.5" customHeight="1" x14ac:dyDescent="0.45">
      <c r="A115" s="10" t="s">
        <v>264</v>
      </c>
      <c r="B115" s="11">
        <v>0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</row>
    <row r="116" spans="1:8" ht="12.5" customHeight="1" x14ac:dyDescent="0.45">
      <c r="A116" s="10" t="s">
        <v>265</v>
      </c>
      <c r="B116" s="11">
        <v>0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</row>
    <row r="117" spans="1:8" ht="12.5" customHeight="1" x14ac:dyDescent="0.45">
      <c r="A117" s="10" t="s">
        <v>266</v>
      </c>
      <c r="B117" s="11">
        <v>0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요약</vt:lpstr>
      <vt:lpstr>sum</vt:lpstr>
      <vt:lpstr>강북본부</vt:lpstr>
      <vt:lpstr>강남본부</vt:lpstr>
      <vt:lpstr>강서본부</vt:lpstr>
      <vt:lpstr>동부본부</vt:lpstr>
      <vt:lpstr>서부본부</vt:lpstr>
      <vt:lpstr>sum_</vt:lpstr>
      <vt:lpstr>강북본부_전년</vt:lpstr>
      <vt:lpstr>강남본부_전년</vt:lpstr>
      <vt:lpstr>강서본부_전년</vt:lpstr>
      <vt:lpstr>동부본부_전년</vt:lpstr>
      <vt:lpstr>서부본부_전년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전홍준(경영기획팀)</dc:creator>
  <cp:lastModifiedBy>전홍준(경영기획팀)</cp:lastModifiedBy>
  <dcterms:created xsi:type="dcterms:W3CDTF">2026-03-04T00:33:05Z</dcterms:created>
  <dcterms:modified xsi:type="dcterms:W3CDTF">2026-03-06T01:03:44Z</dcterms:modified>
</cp:coreProperties>
</file>